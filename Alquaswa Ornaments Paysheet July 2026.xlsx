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200" tabRatio="673" firstSheet="1" activeTab="2"/>
  </bookViews>
  <sheets>
    <sheet name="Invoice - Aug-22" sheetId="5" state="hidden" r:id="rId1"/>
    <sheet name="Wages Register" sheetId="16" r:id="rId2"/>
    <sheet name="Attendance Report" sheetId="18" r:id="rId3"/>
  </sheets>
  <definedNames>
    <definedName name="_xlnm._FilterDatabase" localSheetId="2" hidden="1">'Attendance Report'!$A$1:$L$435</definedName>
    <definedName name="_xlnm._FilterDatabase" localSheetId="1" hidden="1">'Wages Register'!$A$9:$AH$24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<sst xmlns="http://schemas.openxmlformats.org/spreadsheetml/2006/main" count="4310" uniqueCount="343">
  <si>
    <t>TAX INVOICE</t>
  </si>
  <si>
    <t>Original for Receipient</t>
  </si>
  <si>
    <t>Duplicate for Supplier/Transporter</t>
  </si>
  <si>
    <t>Triplicate for Supplier</t>
  </si>
  <si>
    <t>Reverse Charge</t>
  </si>
  <si>
    <t>: N.A.`</t>
  </si>
  <si>
    <t>Transportation Mode</t>
  </si>
  <si>
    <t>:N.A.</t>
  </si>
  <si>
    <t>Invoice No.</t>
  </si>
  <si>
    <t>: YFS-22/23-351</t>
  </si>
  <si>
    <t>Vehicle Number</t>
  </si>
  <si>
    <t>Invoice Date</t>
  </si>
  <si>
    <t>: 02/09/2022</t>
  </si>
  <si>
    <t>Date of Supply</t>
  </si>
  <si>
    <t>State</t>
  </si>
  <si>
    <t>: MAHARASHTRA</t>
  </si>
  <si>
    <t>State Code :</t>
  </si>
  <si>
    <t>27</t>
  </si>
  <si>
    <t>Location</t>
  </si>
  <si>
    <t>: B9, Richland Commercial HUB</t>
  </si>
  <si>
    <t>Details of Receiver | Billed to :</t>
  </si>
  <si>
    <t>Details of Consigee | Shipped to :</t>
  </si>
  <si>
    <t>Name     : M/s.APOLLO SUPPLY CHAIN PRIVATE LIMITED.</t>
  </si>
  <si>
    <t>Name</t>
  </si>
  <si>
    <t>:M/s.APOLLO SUPPLY CHAIN PRIVATE LIMITED.</t>
  </si>
  <si>
    <t>Address : Richland Commercial HUB, Building No. B9, Gala No. 1 to 12, House No. 403,</t>
  </si>
  <si>
    <t>Address</t>
  </si>
  <si>
    <t xml:space="preserve">:Richland Commercial HUB, Building No. B9, </t>
  </si>
  <si>
    <t>Vadpe Village Bhiwandi, Maharashtra-421302</t>
  </si>
  <si>
    <t>Gala No. 1 to 12, House No. 403, Vadpe Village Bhiwandi, Maharashtra-421302</t>
  </si>
  <si>
    <t>GSTIN     : 27AALCA0748D1ZU</t>
  </si>
  <si>
    <t>State       : MAHARASHTRA</t>
  </si>
  <si>
    <t>Customer Name:- APOLLO SUPPLY CHAIN PRIVATE LIMITED.</t>
  </si>
  <si>
    <t>Sr. No.</t>
  </si>
  <si>
    <t>Name of Product / Service</t>
  </si>
  <si>
    <t>HSN /SAC</t>
  </si>
  <si>
    <t>UOM</t>
  </si>
  <si>
    <t>Qty</t>
  </si>
  <si>
    <t>Paid Days</t>
  </si>
  <si>
    <t>Amount</t>
  </si>
  <si>
    <t>Less: Discount</t>
  </si>
  <si>
    <t>Taxable Value</t>
  </si>
  <si>
    <t>CGST</t>
  </si>
  <si>
    <t>SGST</t>
  </si>
  <si>
    <t>IGST</t>
  </si>
  <si>
    <t>Total</t>
  </si>
  <si>
    <t>Rate</t>
  </si>
  <si>
    <t>Manpower Supply Services For the month of Aug-2022</t>
  </si>
  <si>
    <t>Nos</t>
  </si>
  <si>
    <t>Overtime Services For the month of Aug-2022</t>
  </si>
  <si>
    <t xml:space="preserve">                                                 Total :</t>
  </si>
  <si>
    <t>Total Invoice Amount in Words: Thirty Five Lakh Sixteen Thousand Nine Hundred &amp; Thirty Three Only</t>
  </si>
  <si>
    <t>Total Amount Before Tax</t>
  </si>
  <si>
    <t>:</t>
  </si>
  <si>
    <t>Add : CGST</t>
  </si>
  <si>
    <t>Bank Details :</t>
  </si>
  <si>
    <t>Add : SGST</t>
  </si>
  <si>
    <t>YASH FACILITY SERVICE</t>
  </si>
  <si>
    <t>Add : IGST</t>
  </si>
  <si>
    <t>Bank Account Number</t>
  </si>
  <si>
    <t>:  40245150028</t>
  </si>
  <si>
    <t>Tax Amount : GST</t>
  </si>
  <si>
    <t>Bank Branch IFSC</t>
  </si>
  <si>
    <t>:  SBIN0021680</t>
  </si>
  <si>
    <t>Total Amount After Tax</t>
  </si>
  <si>
    <t>Bank Name</t>
  </si>
  <si>
    <t>:  STATE BANK OF INDIA</t>
  </si>
  <si>
    <t>GST Payable on Reverse Charge</t>
  </si>
  <si>
    <t>N.A</t>
  </si>
  <si>
    <t xml:space="preserve">GSTIN NO. </t>
  </si>
  <si>
    <t>: 27AACFY5155C1Z8</t>
  </si>
  <si>
    <t>For: YASH FACILITY SERVICE</t>
  </si>
  <si>
    <t xml:space="preserve">PAN NO. </t>
  </si>
  <si>
    <t>: AACFY5155C</t>
  </si>
  <si>
    <t xml:space="preserve">ESIC CODE NO. </t>
  </si>
  <si>
    <t>: 34000419500000199</t>
  </si>
  <si>
    <t>PF CODE NO.</t>
  </si>
  <si>
    <t>: THTHA2070489000</t>
  </si>
  <si>
    <t>PT Number.</t>
  </si>
  <si>
    <t>: 27861744602P</t>
  </si>
  <si>
    <t>MLWF</t>
  </si>
  <si>
    <t>: THBHWY000006</t>
  </si>
  <si>
    <t>(Common Seal)</t>
  </si>
  <si>
    <t>Authorised Signatory</t>
  </si>
  <si>
    <t>Name of Employers : ALQASWA ORNAMENTS</t>
  </si>
  <si>
    <t>Address: 1ST FLOOR, FLAT NO. 104, BLDG NO 13 NEW
 VIDARBHA SRA CHSL, GOLIBAR ROAD, Santacruz East,
 Mumbai Mumbai Suburban 400055 State Code: 27-Maharashtra</t>
  </si>
  <si>
    <t>FORM II</t>
  </si>
  <si>
    <t>Name and address of establishment in/under</t>
  </si>
  <si>
    <t>PF No.   MHBAN3826432000</t>
  </si>
  <si>
    <t>[See Rule 78(1) (a)(i)]</t>
  </si>
  <si>
    <t>which contract is carried on_______</t>
  </si>
  <si>
    <t>ESIC No. 35001137100000910</t>
  </si>
  <si>
    <t>REGISTER OF WAGES</t>
  </si>
  <si>
    <t>Name and address of principle Employer____</t>
  </si>
  <si>
    <t>GST No.  27CJZPM2509J1ZK</t>
  </si>
  <si>
    <t>Wages period: Monthly</t>
  </si>
  <si>
    <t>PTRC No.27453118439P</t>
  </si>
  <si>
    <t>Month-July 2026</t>
  </si>
  <si>
    <t>Employee Details</t>
  </si>
  <si>
    <t>ACTUAL GROSS</t>
  </si>
  <si>
    <t>Days/OT</t>
  </si>
  <si>
    <t>EARNING GROSS</t>
  </si>
  <si>
    <t>DEDUCTION</t>
  </si>
  <si>
    <t>Net Pay to Employee</t>
  </si>
  <si>
    <t>Employer</t>
  </si>
  <si>
    <t>Sr. No</t>
  </si>
  <si>
    <t>Employee Code</t>
  </si>
  <si>
    <t>ESIC CODE</t>
  </si>
  <si>
    <t>Employee Name</t>
  </si>
  <si>
    <t>Category</t>
  </si>
  <si>
    <t>Desigation</t>
  </si>
  <si>
    <t>Basic</t>
  </si>
  <si>
    <t>HRA</t>
  </si>
  <si>
    <t>Other Allowances</t>
  </si>
  <si>
    <t>Statutory Bonus     @8.33%</t>
  </si>
  <si>
    <t>Gross</t>
  </si>
  <si>
    <t>Monthly Days</t>
  </si>
  <si>
    <t>OT Rate</t>
  </si>
  <si>
    <t>OT Hrs</t>
  </si>
  <si>
    <t>OT Amount</t>
  </si>
  <si>
    <t>Bonus</t>
  </si>
  <si>
    <t>PT</t>
  </si>
  <si>
    <t>ESIC @0.75%</t>
  </si>
  <si>
    <t>PF @12%</t>
  </si>
  <si>
    <t>Adv</t>
  </si>
  <si>
    <t>Total Deduction</t>
  </si>
  <si>
    <t>Net Pay</t>
  </si>
  <si>
    <t>Signature</t>
  </si>
  <si>
    <t>ESIC 3.25% On (B)</t>
  </si>
  <si>
    <t>PF COMP On (A) 13%</t>
  </si>
  <si>
    <t>Sub total</t>
  </si>
  <si>
    <t>RCC2501</t>
  </si>
  <si>
    <t>Nasiruddin Mondal</t>
  </si>
  <si>
    <t>Monthly</t>
  </si>
  <si>
    <t>Manager</t>
  </si>
  <si>
    <t>RCC2512</t>
  </si>
  <si>
    <t>Sachin Borge</t>
  </si>
  <si>
    <t>Worker</t>
  </si>
  <si>
    <t>RCC2511</t>
  </si>
  <si>
    <t>Sambhu Sasmal</t>
  </si>
  <si>
    <t>RCC2514</t>
  </si>
  <si>
    <t>SK Akram Ali</t>
  </si>
  <si>
    <t xml:space="preserve"> </t>
  </si>
  <si>
    <t>RC2503</t>
  </si>
  <si>
    <t>Saidul Mallick</t>
  </si>
  <si>
    <t>RCC2507</t>
  </si>
  <si>
    <t>Sanatan Maji</t>
  </si>
  <si>
    <t>RC2524</t>
  </si>
  <si>
    <t>SK Sohel</t>
  </si>
  <si>
    <t>RCC2510</t>
  </si>
  <si>
    <t>Entajul Mallick</t>
  </si>
  <si>
    <t>RCC000</t>
  </si>
  <si>
    <t xml:space="preserve">Rohit Karbele </t>
  </si>
  <si>
    <t>Sahid Afridi Purkait</t>
  </si>
  <si>
    <t>RCC2525</t>
  </si>
  <si>
    <t>SK Momin</t>
  </si>
  <si>
    <t>RCC2518</t>
  </si>
  <si>
    <t>Sk Sahabuddin</t>
  </si>
  <si>
    <t>RCC2504</t>
  </si>
  <si>
    <t>Sk Sardam Ali</t>
  </si>
  <si>
    <t>RCC2529</t>
  </si>
  <si>
    <t>SK Anas</t>
  </si>
  <si>
    <t>Department</t>
  </si>
  <si>
    <t>Date</t>
  </si>
  <si>
    <t>Day</t>
  </si>
  <si>
    <t>SPST</t>
  </si>
  <si>
    <t>SHIFT IN</t>
  </si>
  <si>
    <t>SHIFT OUT</t>
  </si>
  <si>
    <t>ARRV</t>
  </si>
  <si>
    <t>DEPT</t>
  </si>
  <si>
    <t>OT Hours</t>
  </si>
  <si>
    <t>WORK</t>
  </si>
  <si>
    <t>Assembly-3</t>
  </si>
  <si>
    <t>Wednesday</t>
  </si>
  <si>
    <t>DP</t>
  </si>
  <si>
    <t>9.00 AM</t>
  </si>
  <si>
    <t xml:space="preserve">7.00 PM </t>
  </si>
  <si>
    <t>09:02</t>
  </si>
  <si>
    <t>18:31</t>
  </si>
  <si>
    <t>09:29</t>
  </si>
  <si>
    <t>Thursday</t>
  </si>
  <si>
    <t>ABS</t>
  </si>
  <si>
    <t>00:00</t>
  </si>
  <si>
    <t>Friday</t>
  </si>
  <si>
    <t>09:11</t>
  </si>
  <si>
    <t>18:14</t>
  </si>
  <si>
    <t>09:03</t>
  </si>
  <si>
    <t>Saturday</t>
  </si>
  <si>
    <t>09:04</t>
  </si>
  <si>
    <t>18:10</t>
  </si>
  <si>
    <t>09:06</t>
  </si>
  <si>
    <t>Sunday</t>
  </si>
  <si>
    <t>WO</t>
  </si>
  <si>
    <t>Monday</t>
  </si>
  <si>
    <t>09:09</t>
  </si>
  <si>
    <t>18:33</t>
  </si>
  <si>
    <t>09:24</t>
  </si>
  <si>
    <t>Tuesday</t>
  </si>
  <si>
    <t>09:07</t>
  </si>
  <si>
    <t>18:25</t>
  </si>
  <si>
    <t>09:18</t>
  </si>
  <si>
    <t>18:12</t>
  </si>
  <si>
    <t>09:05</t>
  </si>
  <si>
    <t>09:26</t>
  </si>
  <si>
    <t>18:15</t>
  </si>
  <si>
    <t>09:12</t>
  </si>
  <si>
    <t>18:20</t>
  </si>
  <si>
    <t>18:17</t>
  </si>
  <si>
    <t>09:15</t>
  </si>
  <si>
    <t>09:01</t>
  </si>
  <si>
    <t>18:19</t>
  </si>
  <si>
    <t>09:08</t>
  </si>
  <si>
    <t>09:17</t>
  </si>
  <si>
    <t>18:13</t>
  </si>
  <si>
    <t>18:34</t>
  </si>
  <si>
    <t>09:25</t>
  </si>
  <si>
    <t>18:27</t>
  </si>
  <si>
    <t>09:21</t>
  </si>
  <si>
    <t>18:21</t>
  </si>
  <si>
    <t>09:13</t>
  </si>
  <si>
    <t>18:24</t>
  </si>
  <si>
    <t>18:32</t>
  </si>
  <si>
    <t>09:23</t>
  </si>
  <si>
    <t>18:16</t>
  </si>
  <si>
    <t>19:19</t>
  </si>
  <si>
    <t>10:07</t>
  </si>
  <si>
    <t>19:49</t>
  </si>
  <si>
    <t>10:48</t>
  </si>
  <si>
    <t>18:07</t>
  </si>
  <si>
    <t>10:38</t>
  </si>
  <si>
    <t>20:13</t>
  </si>
  <si>
    <t>11:00</t>
  </si>
  <si>
    <t>19:33</t>
  </si>
  <si>
    <t>10:31</t>
  </si>
  <si>
    <t>09:14</t>
  </si>
  <si>
    <t>19:25</t>
  </si>
  <si>
    <t>10:11</t>
  </si>
  <si>
    <t>19:54</t>
  </si>
  <si>
    <t>10:40</t>
  </si>
  <si>
    <t>19:34</t>
  </si>
  <si>
    <t>10:37</t>
  </si>
  <si>
    <t>20:02</t>
  </si>
  <si>
    <t>19:57</t>
  </si>
  <si>
    <t>10:45</t>
  </si>
  <si>
    <t>19:45</t>
  </si>
  <si>
    <t>10:34</t>
  </si>
  <si>
    <t>20:07</t>
  </si>
  <si>
    <t>10:52</t>
  </si>
  <si>
    <t>19:52</t>
  </si>
  <si>
    <t>10:49</t>
  </si>
  <si>
    <t>20:01</t>
  </si>
  <si>
    <t>10:59</t>
  </si>
  <si>
    <t>09:00</t>
  </si>
  <si>
    <t>18:18</t>
  </si>
  <si>
    <t>18:26</t>
  </si>
  <si>
    <t>19:53</t>
  </si>
  <si>
    <t>10:51</t>
  </si>
  <si>
    <t>19:39</t>
  </si>
  <si>
    <t>10:39</t>
  </si>
  <si>
    <t>19:58</t>
  </si>
  <si>
    <t>10:57</t>
  </si>
  <si>
    <t>19:55</t>
  </si>
  <si>
    <t>10:47</t>
  </si>
  <si>
    <t>09:16</t>
  </si>
  <si>
    <t>18:06</t>
  </si>
  <si>
    <t>18:35</t>
  </si>
  <si>
    <t>18:01</t>
  </si>
  <si>
    <t>09:28</t>
  </si>
  <si>
    <t>18:30</t>
  </si>
  <si>
    <t>09:10</t>
  </si>
  <si>
    <t>18:38</t>
  </si>
  <si>
    <t>18:23</t>
  </si>
  <si>
    <t>18:04</t>
  </si>
  <si>
    <t>18:29</t>
  </si>
  <si>
    <t>09:19</t>
  </si>
  <si>
    <t>18:22</t>
  </si>
  <si>
    <t>18:36</t>
  </si>
  <si>
    <t>09:22</t>
  </si>
  <si>
    <t>18:05</t>
  </si>
  <si>
    <t>18:40</t>
  </si>
  <si>
    <t>09:30</t>
  </si>
  <si>
    <t>18:09</t>
  </si>
  <si>
    <t>19:38</t>
  </si>
  <si>
    <t>10:42</t>
  </si>
  <si>
    <t>19:47</t>
  </si>
  <si>
    <t>10:44</t>
  </si>
  <si>
    <t>20:04</t>
  </si>
  <si>
    <t>10:56</t>
  </si>
  <si>
    <t>19:41</t>
  </si>
  <si>
    <t>19:56</t>
  </si>
  <si>
    <t>10:46</t>
  </si>
  <si>
    <t>20:05</t>
  </si>
  <si>
    <t>10:32</t>
  </si>
  <si>
    <t>20:06</t>
  </si>
  <si>
    <t>10:53</t>
  </si>
  <si>
    <t>19:50</t>
  </si>
  <si>
    <t>20:03</t>
  </si>
  <si>
    <t>10:54</t>
  </si>
  <si>
    <t>19:31</t>
  </si>
  <si>
    <t>19:42</t>
  </si>
  <si>
    <t>09:27</t>
  </si>
  <si>
    <t>09:20</t>
  </si>
  <si>
    <t>19:36</t>
  </si>
  <si>
    <t>10:36</t>
  </si>
  <si>
    <t>18:11</t>
  </si>
  <si>
    <t>19:59</t>
  </si>
  <si>
    <t>18:28</t>
  </si>
  <si>
    <t>19:43</t>
  </si>
  <si>
    <t>10:41</t>
  </si>
  <si>
    <t>18:43</t>
  </si>
  <si>
    <t>19:29</t>
  </si>
  <si>
    <t>10:17</t>
  </si>
  <si>
    <t>10:43</t>
  </si>
  <si>
    <t>19:48</t>
  </si>
  <si>
    <t>10:33</t>
  </si>
  <si>
    <t>10:58</t>
  </si>
  <si>
    <t>10:35</t>
  </si>
  <si>
    <t>20:00</t>
  </si>
  <si>
    <t>10:55</t>
  </si>
  <si>
    <t>19:44</t>
  </si>
  <si>
    <t>20:12</t>
  </si>
  <si>
    <t>19:46</t>
  </si>
  <si>
    <t>20:09</t>
  </si>
  <si>
    <t>10:50</t>
  </si>
  <si>
    <t>10:30</t>
  </si>
  <si>
    <t>19:18</t>
  </si>
  <si>
    <t>10:05</t>
  </si>
  <si>
    <t>19:51</t>
  </si>
  <si>
    <t>19:13</t>
  </si>
  <si>
    <t>10:09</t>
  </si>
  <si>
    <t>20:08</t>
  </si>
  <si>
    <t>Rohit Karbele</t>
  </si>
  <si>
    <t>19:23</t>
  </si>
  <si>
    <t>10:10</t>
  </si>
  <si>
    <t>10:06</t>
  </si>
  <si>
    <t>18:42</t>
  </si>
  <si>
    <t>18:39</t>
  </si>
  <si>
    <t>19:37</t>
  </si>
  <si>
    <t>20:11</t>
  </si>
  <si>
    <t>19:40</t>
  </si>
  <si>
    <t>19:17</t>
  </si>
  <si>
    <t>18:03</t>
  </si>
  <si>
    <t>18:02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</si>
</sst>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  <numFmt numFmtId="179" formatCode="_ * #,##0_ ;_ * \-#,##0_ ;_ * &quot;-&quot;??_ ;_ @_ "/>
    <numFmt numFmtId="180" formatCode="[$-409]d\-mmm\-yy;@"/>
  </numFmts>
  <fonts count="39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2"/>
      <color theme="1"/>
      <name val="Cambria"/>
      <charset val="134"/>
    </font>
    <font>
      <b/>
      <sz val="12"/>
      <color indexed="8"/>
      <name val="Cambria"/>
      <charset val="134"/>
    </font>
    <font>
      <sz val="11"/>
      <name val="Cambria"/>
      <charset val="134"/>
    </font>
    <font>
      <sz val="12"/>
      <name val="Cambria"/>
      <charset val="134"/>
    </font>
    <font>
      <b/>
      <sz val="12"/>
      <name val="Cambria"/>
      <charset val="134"/>
    </font>
    <font>
      <b/>
      <sz val="12"/>
      <color theme="1"/>
      <name val="Cambria"/>
      <charset val="134"/>
    </font>
    <font>
      <sz val="11"/>
      <name val="Calibri"/>
      <charset val="134"/>
    </font>
    <font>
      <sz val="10"/>
      <color theme="1"/>
      <name val="Arial"/>
      <charset val="134"/>
    </font>
    <font>
      <b/>
      <sz val="11"/>
      <name val="Cambria"/>
      <charset val="134"/>
    </font>
    <font>
      <sz val="11"/>
      <color theme="1"/>
      <name val="Cambria"/>
      <charset val="134"/>
    </font>
    <font>
      <b/>
      <sz val="11"/>
      <color rgb="FF3574F3"/>
      <name val="Cambria"/>
      <charset val="134"/>
    </font>
    <font>
      <b/>
      <sz val="11"/>
      <color theme="1"/>
      <name val="Cambria"/>
      <charset val="134"/>
    </font>
    <font>
      <sz val="11"/>
      <color rgb="FFFF0000"/>
      <name val="Cambria"/>
      <charset val="134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Times New Roman"/>
      <charset val="134"/>
    </font>
    <font>
      <sz val="10"/>
      <name val="Arial"/>
      <charset val="134"/>
    </font>
  </fonts>
  <fills count="3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2">
    <border>
      <left/>
      <right/>
      <top/>
      <bottom/>
      <diagonal/>
    </border>
    <border>
      <left style="medium">
        <color rgb="FFE7E7E7"/>
      </left>
      <right style="medium">
        <color rgb="FFE7E7E7"/>
      </right>
      <top style="medium">
        <color rgb="FFE7E7E7"/>
      </top>
      <bottom style="medium">
        <color rgb="FFE7E7E7"/>
      </bottom>
      <diagonal/>
    </border>
    <border>
      <left/>
      <right/>
      <top/>
      <bottom style="thin">
        <color rgb="FFD9E1F2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rgb="FF4275E6"/>
      </left>
      <right/>
      <top style="thick">
        <color rgb="FF4275E6"/>
      </top>
      <bottom/>
      <diagonal/>
    </border>
    <border>
      <left/>
      <right/>
      <top style="thick">
        <color rgb="FF4275E6"/>
      </top>
      <bottom/>
      <diagonal/>
    </border>
    <border>
      <left/>
      <right style="thick">
        <color rgb="FF4275E6"/>
      </right>
      <top style="thick">
        <color rgb="FF4275E6"/>
      </top>
      <bottom/>
      <diagonal/>
    </border>
    <border>
      <left style="thick">
        <color rgb="FF4275E6"/>
      </left>
      <right/>
      <top style="thick">
        <color rgb="FF4275E6"/>
      </top>
      <bottom style="thin">
        <color rgb="FF4275E6"/>
      </bottom>
      <diagonal/>
    </border>
    <border>
      <left/>
      <right/>
      <top style="thick">
        <color rgb="FF4275E6"/>
      </top>
      <bottom style="thin">
        <color rgb="FF4275E6"/>
      </bottom>
      <diagonal/>
    </border>
    <border>
      <left/>
      <right style="thick">
        <color rgb="FF4275E6"/>
      </right>
      <top style="thick">
        <color rgb="FF4275E6"/>
      </top>
      <bottom style="thin">
        <color rgb="FF4275E6"/>
      </bottom>
      <diagonal/>
    </border>
    <border>
      <left style="thick">
        <color rgb="FF4275E6"/>
      </left>
      <right/>
      <top/>
      <bottom/>
      <diagonal/>
    </border>
    <border>
      <left/>
      <right style="thick">
        <color rgb="FF4275E6"/>
      </right>
      <top/>
      <bottom/>
      <diagonal/>
    </border>
    <border>
      <left style="thick">
        <color rgb="FF4275E6"/>
      </left>
      <right/>
      <top style="thin">
        <color rgb="FF4275E6"/>
      </top>
      <bottom style="thin">
        <color rgb="FF4275E6"/>
      </bottom>
      <diagonal/>
    </border>
    <border>
      <left/>
      <right/>
      <top style="thin">
        <color rgb="FF4275E6"/>
      </top>
      <bottom style="thin">
        <color rgb="FF4275E6"/>
      </bottom>
      <diagonal/>
    </border>
    <border>
      <left/>
      <right style="thick">
        <color rgb="FF4275E6"/>
      </right>
      <top style="thin">
        <color rgb="FF4275E6"/>
      </top>
      <bottom style="thin">
        <color rgb="FF4275E6"/>
      </bottom>
      <diagonal/>
    </border>
    <border>
      <left style="thick">
        <color rgb="FF4275E6"/>
      </left>
      <right/>
      <top/>
      <bottom style="medium">
        <color rgb="FF4275E6"/>
      </bottom>
      <diagonal/>
    </border>
    <border>
      <left/>
      <right/>
      <top/>
      <bottom style="medium">
        <color rgb="FF4275E6"/>
      </bottom>
      <diagonal/>
    </border>
    <border>
      <left/>
      <right style="thick">
        <color rgb="FF4275E6"/>
      </right>
      <top/>
      <bottom style="medium">
        <color rgb="FF4275E6"/>
      </bottom>
      <diagonal/>
    </border>
    <border>
      <left style="thick">
        <color rgb="FF4275E6"/>
      </left>
      <right style="thick">
        <color rgb="FF4275E6"/>
      </right>
      <top style="thick">
        <color rgb="FF4275E6"/>
      </top>
      <bottom style="thick">
        <color rgb="FF4275E6"/>
      </bottom>
      <diagonal/>
    </border>
    <border>
      <left style="thick">
        <color rgb="FF4275E6"/>
      </left>
      <right/>
      <top/>
      <bottom style="thick">
        <color rgb="FF4275E6"/>
      </bottom>
      <diagonal/>
    </border>
    <border>
      <left/>
      <right/>
      <top/>
      <bottom style="thick">
        <color rgb="FF4275E6"/>
      </bottom>
      <diagonal/>
    </border>
    <border>
      <left/>
      <right style="thick">
        <color rgb="FF4275E6"/>
      </right>
      <top/>
      <bottom style="thick">
        <color rgb="FF4275E6"/>
      </bottom>
      <diagonal/>
    </border>
    <border>
      <left style="thick">
        <color rgb="FF4275E6"/>
      </left>
      <right/>
      <top style="medium">
        <color rgb="FF4275E6"/>
      </top>
      <bottom/>
      <diagonal/>
    </border>
    <border>
      <left/>
      <right/>
      <top style="medium">
        <color rgb="FF4275E6"/>
      </top>
      <bottom/>
      <diagonal/>
    </border>
    <border>
      <left/>
      <right style="medium">
        <color rgb="FF4275E6"/>
      </right>
      <top style="medium">
        <color rgb="FF4275E6"/>
      </top>
      <bottom/>
      <diagonal/>
    </border>
    <border>
      <left/>
      <right style="medium">
        <color rgb="FF4275E6"/>
      </right>
      <top/>
      <bottom/>
      <diagonal/>
    </border>
    <border>
      <left style="medium">
        <color rgb="FF4275E6"/>
      </left>
      <right/>
      <top/>
      <bottom/>
      <diagonal/>
    </border>
    <border>
      <left/>
      <right style="medium">
        <color rgb="FF4275E6"/>
      </right>
      <top/>
      <bottom style="medium">
        <color rgb="FF4275E6"/>
      </bottom>
      <diagonal/>
    </border>
    <border>
      <left style="medium">
        <color rgb="FF4275E6"/>
      </left>
      <right/>
      <top style="medium">
        <color rgb="FF4275E6"/>
      </top>
      <bottom style="medium">
        <color rgb="FF4275E6"/>
      </bottom>
      <diagonal/>
    </border>
    <border>
      <left/>
      <right style="thin">
        <color rgb="FF4275E6"/>
      </right>
      <top style="medium">
        <color rgb="FF4275E6"/>
      </top>
      <bottom style="medium">
        <color rgb="FF4275E6"/>
      </bottom>
      <diagonal/>
    </border>
    <border>
      <left/>
      <right style="medium">
        <color rgb="FF4275E6"/>
      </right>
      <top style="medium">
        <color rgb="FF4275E6"/>
      </top>
      <bottom style="medium">
        <color rgb="FF4275E6"/>
      </bottom>
      <diagonal/>
    </border>
    <border>
      <left style="medium">
        <color rgb="FF4275E6"/>
      </left>
      <right/>
      <top/>
      <bottom style="medium">
        <color rgb="FF4275E6"/>
      </bottom>
      <diagonal/>
    </border>
    <border>
      <left/>
      <right/>
      <top style="medium">
        <color rgb="FF4275E6"/>
      </top>
      <bottom style="thick">
        <color rgb="FF4275E6"/>
      </bottom>
      <diagonal/>
    </border>
    <border>
      <left/>
      <right style="medium">
        <color rgb="FF4275E6"/>
      </right>
      <top style="thick">
        <color rgb="FF4275E6"/>
      </top>
      <bottom/>
      <diagonal/>
    </border>
    <border>
      <left style="medium">
        <color rgb="FF4275E6"/>
      </left>
      <right/>
      <top style="thick">
        <color rgb="FF4275E6"/>
      </top>
      <bottom style="medium">
        <color rgb="FF4275E6"/>
      </bottom>
      <diagonal/>
    </border>
    <border>
      <left/>
      <right/>
      <top style="thick">
        <color rgb="FF4275E6"/>
      </top>
      <bottom style="medium">
        <color rgb="FF4275E6"/>
      </bottom>
      <diagonal/>
    </border>
    <border>
      <left/>
      <right style="thick">
        <color rgb="FF4275E6"/>
      </right>
      <top style="thick">
        <color rgb="FF4275E6"/>
      </top>
      <bottom style="medium">
        <color rgb="FF4275E6"/>
      </bottom>
      <diagonal/>
    </border>
    <border>
      <left/>
      <right style="thick">
        <color rgb="FF4275E6"/>
      </right>
      <top style="medium">
        <color rgb="FF4275E6"/>
      </top>
      <bottom/>
      <diagonal/>
    </border>
    <border>
      <left/>
      <right style="thick">
        <color rgb="FF4275E6"/>
      </right>
      <top style="medium">
        <color rgb="FF4275E6"/>
      </top>
      <bottom style="medium">
        <color rgb="FF4275E6"/>
      </bottom>
      <diagonal/>
    </border>
    <border>
      <left style="thick">
        <color rgb="FF4275E6"/>
      </left>
      <right/>
      <top style="medium">
        <color rgb="FF4275E6"/>
      </top>
      <bottom style="medium">
        <color rgb="FF4275E6"/>
      </bottom>
      <diagonal/>
    </border>
    <border>
      <left/>
      <right/>
      <top style="medium">
        <color rgb="FF4275E6"/>
      </top>
      <bottom style="medium">
        <color rgb="FF4275E6"/>
      </bottom>
      <diagonal/>
    </border>
    <border>
      <left style="thick">
        <color rgb="FF4275E6"/>
      </left>
      <right style="medium">
        <color rgb="FF4275E6"/>
      </right>
      <top style="medium">
        <color rgb="FF4275E6"/>
      </top>
      <bottom/>
      <diagonal/>
    </border>
    <border>
      <left/>
      <right style="thin">
        <color rgb="FF4275E6"/>
      </right>
      <top style="medium">
        <color rgb="FF4275E6"/>
      </top>
      <bottom/>
      <diagonal/>
    </border>
    <border>
      <left style="thin">
        <color rgb="FF4275E6"/>
      </left>
      <right style="thin">
        <color rgb="FF4275E6"/>
      </right>
      <top style="medium">
        <color rgb="FF4275E6"/>
      </top>
      <bottom/>
      <diagonal/>
    </border>
    <border>
      <left style="thin">
        <color rgb="FF4275E6"/>
      </left>
      <right style="medium">
        <color rgb="FF4275E6"/>
      </right>
      <top style="medium">
        <color rgb="FF4275E6"/>
      </top>
      <bottom/>
      <diagonal/>
    </border>
    <border>
      <left style="thin">
        <color rgb="FF4275E6"/>
      </left>
      <right/>
      <top/>
      <bottom/>
      <diagonal/>
    </border>
    <border>
      <left/>
      <right style="thin">
        <color rgb="FF4275E6"/>
      </right>
      <top/>
      <bottom/>
      <diagonal/>
    </border>
    <border>
      <left style="thin">
        <color rgb="FF4275E6"/>
      </left>
      <right/>
      <top style="medium">
        <color rgb="FF4275E6"/>
      </top>
      <bottom/>
      <diagonal/>
    </border>
    <border>
      <left style="medium">
        <color rgb="FF4275E6"/>
      </left>
      <right style="thick">
        <color rgb="FF4275E6"/>
      </right>
      <top style="medium">
        <color rgb="FF4275E6"/>
      </top>
      <bottom/>
      <diagonal/>
    </border>
    <border>
      <left style="thick">
        <color rgb="FF4275E6"/>
      </left>
      <right style="medium">
        <color rgb="FF4275E6"/>
      </right>
      <top/>
      <bottom style="medium">
        <color rgb="FF4275E6"/>
      </bottom>
      <diagonal/>
    </border>
    <border>
      <left/>
      <right style="thin">
        <color rgb="FF4275E6"/>
      </right>
      <top/>
      <bottom style="medium">
        <color rgb="FF4275E6"/>
      </bottom>
      <diagonal/>
    </border>
    <border>
      <left style="thin">
        <color rgb="FF4275E6"/>
      </left>
      <right style="thin">
        <color rgb="FF4275E6"/>
      </right>
      <top/>
      <bottom style="medium">
        <color rgb="FF4275E6"/>
      </bottom>
      <diagonal/>
    </border>
    <border>
      <left style="thin">
        <color rgb="FF4275E6"/>
      </left>
      <right style="medium">
        <color rgb="FF4275E6"/>
      </right>
      <top/>
      <bottom style="medium">
        <color rgb="FF4275E6"/>
      </bottom>
      <diagonal/>
    </border>
    <border>
      <left style="thin">
        <color rgb="FF4275E6"/>
      </left>
      <right style="thin">
        <color rgb="FF4275E6"/>
      </right>
      <top style="medium">
        <color rgb="FF4275E6"/>
      </top>
      <bottom style="medium">
        <color rgb="FF4275E6"/>
      </bottom>
      <diagonal/>
    </border>
    <border>
      <left style="medium">
        <color rgb="FF4275E6"/>
      </left>
      <right style="thick">
        <color rgb="FF4275E6"/>
      </right>
      <top/>
      <bottom style="medium">
        <color rgb="FF4275E6"/>
      </bottom>
      <diagonal/>
    </border>
    <border>
      <left style="medium">
        <color rgb="FF4275E6"/>
      </left>
      <right style="medium">
        <color rgb="FF4275E6"/>
      </right>
      <top style="medium">
        <color rgb="FF4275E6"/>
      </top>
      <bottom/>
      <diagonal/>
    </border>
    <border>
      <left style="medium">
        <color rgb="FF4275E6"/>
      </left>
      <right style="thin">
        <color rgb="FF4275E6"/>
      </right>
      <top style="medium">
        <color rgb="FF4275E6"/>
      </top>
      <bottom/>
      <diagonal/>
    </border>
    <border>
      <left style="thin">
        <color rgb="FF4275E6"/>
      </left>
      <right style="thin">
        <color rgb="FF4275E6"/>
      </right>
      <top/>
      <bottom/>
      <diagonal/>
    </border>
    <border>
      <left style="thick">
        <color rgb="FF4275E6"/>
      </left>
      <right style="medium">
        <color rgb="FF4275E6"/>
      </right>
      <top/>
      <bottom/>
      <diagonal/>
    </border>
    <border>
      <left style="medium">
        <color rgb="FF4275E6"/>
      </left>
      <right style="medium">
        <color rgb="FF4275E6"/>
      </right>
      <top/>
      <bottom/>
      <diagonal/>
    </border>
    <border>
      <left style="medium">
        <color rgb="FF4275E6"/>
      </left>
      <right style="thin">
        <color rgb="FF4275E6"/>
      </right>
      <top/>
      <bottom/>
      <diagonal/>
    </border>
    <border>
      <left style="thin">
        <color rgb="FF4275E6"/>
      </left>
      <right style="medium">
        <color rgb="FF4275E6"/>
      </right>
      <top/>
      <bottom/>
      <diagonal/>
    </border>
    <border>
      <left style="thick">
        <color rgb="FF4275E6"/>
      </left>
      <right/>
      <top style="medium">
        <color rgb="FF4275E6"/>
      </top>
      <bottom style="thin">
        <color rgb="FF4275E6"/>
      </bottom>
      <diagonal/>
    </border>
    <border>
      <left/>
      <right/>
      <top style="medium">
        <color rgb="FF4275E6"/>
      </top>
      <bottom style="thin">
        <color rgb="FF4275E6"/>
      </bottom>
      <diagonal/>
    </border>
    <border>
      <left/>
      <right style="thin">
        <color rgb="FF4275E6"/>
      </right>
      <top style="medium">
        <color rgb="FF4275E6"/>
      </top>
      <bottom style="thin">
        <color rgb="FF4275E6"/>
      </bottom>
      <diagonal/>
    </border>
    <border>
      <left style="thin">
        <color rgb="FF4275E6"/>
      </left>
      <right style="thick">
        <color rgb="FF2C54FC"/>
      </right>
      <top style="medium">
        <color rgb="FF4275E6"/>
      </top>
      <bottom style="thin">
        <color rgb="FF4275E6"/>
      </bottom>
      <diagonal/>
    </border>
    <border>
      <left style="thick">
        <color rgb="FF4275E6"/>
      </left>
      <right/>
      <top style="thin">
        <color rgb="FF4275E6"/>
      </top>
      <bottom/>
      <diagonal/>
    </border>
    <border>
      <left/>
      <right/>
      <top style="thin">
        <color rgb="FF4275E6"/>
      </top>
      <bottom/>
      <diagonal/>
    </border>
    <border>
      <left/>
      <right style="medium">
        <color rgb="FF2C54FC"/>
      </right>
      <top style="thin">
        <color rgb="FF4275E6"/>
      </top>
      <bottom/>
      <diagonal/>
    </border>
    <border>
      <left/>
      <right style="thin">
        <color rgb="FF4275E6"/>
      </right>
      <top style="thin">
        <color rgb="FF4275E6"/>
      </top>
      <bottom style="thin">
        <color rgb="FF4275E6"/>
      </bottom>
      <diagonal/>
    </border>
    <border>
      <left style="thick">
        <color rgb="FF4275E6"/>
      </left>
      <right/>
      <top/>
      <bottom style="medium">
        <color rgb="FF2C54FC"/>
      </bottom>
      <diagonal/>
    </border>
    <border>
      <left/>
      <right/>
      <top/>
      <bottom style="medium">
        <color rgb="FF2C54FC"/>
      </bottom>
      <diagonal/>
    </border>
    <border>
      <left/>
      <right style="medium">
        <color rgb="FF2C54FC"/>
      </right>
      <top/>
      <bottom style="medium">
        <color rgb="FF2C54FC"/>
      </bottom>
      <diagonal/>
    </border>
    <border>
      <left style="medium">
        <color rgb="FF2C54FC"/>
      </left>
      <right/>
      <top style="thin">
        <color rgb="FF4275E6"/>
      </top>
      <bottom style="thin">
        <color rgb="FF4275E6"/>
      </bottom>
      <diagonal/>
    </border>
    <border>
      <left style="thick">
        <color rgb="FF4275E6"/>
      </left>
      <right/>
      <top style="medium">
        <color rgb="FF2C54FC"/>
      </top>
      <bottom/>
      <diagonal/>
    </border>
    <border>
      <left/>
      <right/>
      <top style="medium">
        <color rgb="FF2C54FC"/>
      </top>
      <bottom/>
      <diagonal/>
    </border>
    <border>
      <left/>
      <right style="medium">
        <color rgb="FF2C54FC"/>
      </right>
      <top style="medium">
        <color rgb="FF2C54FC"/>
      </top>
      <bottom/>
      <diagonal/>
    </border>
    <border>
      <left style="thick">
        <color rgb="FF4275E6"/>
      </left>
      <right/>
      <top style="medium">
        <color rgb="FF2C54FC"/>
      </top>
      <bottom style="thin">
        <color rgb="FF2C54FC"/>
      </bottom>
      <diagonal/>
    </border>
    <border>
      <left/>
      <right style="thin">
        <color rgb="FF2C54FC"/>
      </right>
      <top style="medium">
        <color rgb="FF2C54FC"/>
      </top>
      <bottom style="thin">
        <color rgb="FF2C54FC"/>
      </bottom>
      <diagonal/>
    </border>
    <border>
      <left style="thin">
        <color rgb="FF2C54FC"/>
      </left>
      <right/>
      <top style="medium">
        <color rgb="FF2C54FC"/>
      </top>
      <bottom/>
      <diagonal/>
    </border>
    <border>
      <left style="medium">
        <color rgb="FF2C54FC"/>
      </left>
      <right/>
      <top style="thin">
        <color rgb="FF4275E6"/>
      </top>
      <bottom/>
      <diagonal/>
    </border>
    <border>
      <left/>
      <right/>
      <top style="thin">
        <color rgb="FF4275E6"/>
      </top>
      <bottom style="medium">
        <color rgb="FF4275E6"/>
      </bottom>
      <diagonal/>
    </border>
    <border>
      <left/>
      <right style="thick">
        <color rgb="FF4275E6"/>
      </right>
      <top style="thin">
        <color rgb="FF4275E6"/>
      </top>
      <bottom style="medium">
        <color rgb="FF4275E6"/>
      </bottom>
      <diagonal/>
    </border>
    <border>
      <left style="thick">
        <color rgb="FF4275E6"/>
      </left>
      <right/>
      <top/>
      <bottom style="thin">
        <color rgb="FF2C54FC"/>
      </bottom>
      <diagonal/>
    </border>
    <border>
      <left/>
      <right style="thin">
        <color rgb="FF2C54FC"/>
      </right>
      <top/>
      <bottom style="thin">
        <color rgb="FF2C54FC"/>
      </bottom>
      <diagonal/>
    </border>
    <border>
      <left style="thin">
        <color rgb="FF2C54FC"/>
      </left>
      <right/>
      <top style="thin">
        <color rgb="FF2C54FC"/>
      </top>
      <bottom style="thin">
        <color rgb="FF2C54FC"/>
      </bottom>
      <diagonal/>
    </border>
    <border>
      <left/>
      <right/>
      <top style="thin">
        <color rgb="FF2C54FC"/>
      </top>
      <bottom style="thin">
        <color rgb="FF2C54FC"/>
      </bottom>
      <diagonal/>
    </border>
    <border>
      <left/>
      <right style="thin">
        <color rgb="FF4275E6"/>
      </right>
      <top/>
      <bottom style="thick">
        <color rgb="FF4275E6"/>
      </bottom>
      <diagonal/>
    </border>
    <border>
      <left style="thick">
        <color rgb="FF4275E6"/>
      </left>
      <right/>
      <top style="thin">
        <color rgb="FF2C54FC"/>
      </top>
      <bottom/>
      <diagonal/>
    </border>
    <border>
      <left/>
      <right style="thin">
        <color rgb="FF2C54FC"/>
      </right>
      <top style="thin">
        <color rgb="FF2C54FC"/>
      </top>
      <bottom/>
      <diagonal/>
    </border>
    <border>
      <left style="thin">
        <color rgb="FF2C54FC"/>
      </left>
      <right/>
      <top style="thin">
        <color rgb="FF2C54FC"/>
      </top>
      <bottom style="medium">
        <color rgb="FF2C54FC"/>
      </bottom>
      <diagonal/>
    </border>
    <border>
      <left/>
      <right/>
      <top style="thin">
        <color rgb="FF2C54FC"/>
      </top>
      <bottom style="medium">
        <color rgb="FF2C54FC"/>
      </bottom>
      <diagonal/>
    </border>
    <border>
      <left/>
      <right style="medium">
        <color rgb="FF2C54FC"/>
      </right>
      <top style="thin">
        <color rgb="FF2C54FC"/>
      </top>
      <bottom style="medium">
        <color rgb="FF2C54FC"/>
      </bottom>
      <diagonal/>
    </border>
    <border>
      <left/>
      <right/>
      <top style="thick">
        <color rgb="FF4275E6"/>
      </top>
      <bottom style="thick">
        <color rgb="FF4275E6"/>
      </bottom>
      <diagonal/>
    </border>
    <border>
      <left/>
      <right style="thick">
        <color rgb="FF4275E6"/>
      </right>
      <top style="thick">
        <color rgb="FF4275E6"/>
      </top>
      <bottom style="thick">
        <color rgb="FF4275E6"/>
      </bottom>
      <diagonal/>
    </border>
    <border>
      <left style="thick">
        <color rgb="FF4275E6"/>
      </left>
      <right/>
      <top style="medium">
        <color rgb="FF2C54FC"/>
      </top>
      <bottom style="medium">
        <color rgb="FF2C54FC"/>
      </bottom>
      <diagonal/>
    </border>
    <border>
      <left/>
      <right/>
      <top style="medium">
        <color rgb="FF2C54FC"/>
      </top>
      <bottom style="medium">
        <color rgb="FF2C54FC"/>
      </bottom>
      <diagonal/>
    </border>
    <border>
      <left/>
      <right style="thin">
        <color rgb="FF4275E6"/>
      </right>
      <top style="medium">
        <color rgb="FF2C54FC"/>
      </top>
      <bottom style="medium">
        <color rgb="FF2C54FC"/>
      </bottom>
      <diagonal/>
    </border>
    <border>
      <left style="thin">
        <color rgb="FF4275E6"/>
      </left>
      <right/>
      <top style="thick">
        <color rgb="FF4275E6"/>
      </top>
      <bottom style="thick">
        <color rgb="FF4275E6"/>
      </bottom>
      <diagonal/>
    </border>
    <border>
      <left style="thick">
        <color rgb="FF2C54FC"/>
      </left>
      <right style="thin">
        <color rgb="FF2C54FC"/>
      </right>
      <top/>
      <bottom/>
      <diagonal/>
    </border>
    <border>
      <left style="thin">
        <color rgb="FF2C54FC"/>
      </left>
      <right/>
      <top style="medium">
        <color rgb="FF2C54FC"/>
      </top>
      <bottom style="thin">
        <color rgb="FF2C54FC"/>
      </bottom>
      <diagonal/>
    </border>
    <border>
      <left/>
      <right/>
      <top style="medium">
        <color rgb="FF2C54FC"/>
      </top>
      <bottom style="thin">
        <color rgb="FF2C54FC"/>
      </bottom>
      <diagonal/>
    </border>
    <border>
      <left/>
      <right style="thin">
        <color rgb="FF4275E6"/>
      </right>
      <top style="medium">
        <color rgb="FF2C54FC"/>
      </top>
      <bottom style="thin">
        <color rgb="FF2C54FC"/>
      </bottom>
      <diagonal/>
    </border>
    <border>
      <left style="thin">
        <color rgb="FF4275E6"/>
      </left>
      <right/>
      <top style="thick">
        <color rgb="FF4275E6"/>
      </top>
      <bottom/>
      <diagonal/>
    </border>
    <border>
      <left style="thick">
        <color rgb="FF2C54FC"/>
      </left>
      <right style="thin">
        <color rgb="FF2C54FC"/>
      </right>
      <top style="thin">
        <color rgb="FF2C54FC"/>
      </top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/>
      <right/>
      <top style="thin">
        <color theme="3" tint="0.399975585192419"/>
      </top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 style="thick">
        <color rgb="FF2C54FC"/>
      </left>
      <right style="thin">
        <color rgb="FF2C54FC"/>
      </right>
      <top style="thin">
        <color rgb="FF2C54FC"/>
      </top>
      <bottom style="thin">
        <color rgb="FF2C54FC"/>
      </bottom>
      <diagonal/>
    </border>
    <border>
      <left style="thick">
        <color rgb="FF2C54FC"/>
      </left>
      <right/>
      <top style="thin">
        <color rgb="FF2C54FC"/>
      </top>
      <bottom style="thin">
        <color rgb="FF2C54FC"/>
      </bottom>
      <diagonal/>
    </border>
    <border>
      <left style="thin">
        <color theme="3" tint="0.399975585192419"/>
      </left>
      <right/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/>
      <top style="thin">
        <color rgb="FF0070C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176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8" borderId="124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25" applyNumberFormat="0" applyFill="0" applyAlignment="0" applyProtection="0">
      <alignment vertical="center"/>
    </xf>
    <xf numFmtId="0" fontId="24" fillId="0" borderId="125" applyNumberFormat="0" applyFill="0" applyAlignment="0" applyProtection="0">
      <alignment vertical="center"/>
    </xf>
    <xf numFmtId="0" fontId="25" fillId="0" borderId="12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9" borderId="127" applyNumberFormat="0" applyAlignment="0" applyProtection="0">
      <alignment vertical="center"/>
    </xf>
    <xf numFmtId="0" fontId="27" fillId="10" borderId="128" applyNumberFormat="0" applyAlignment="0" applyProtection="0">
      <alignment vertical="center"/>
    </xf>
    <xf numFmtId="0" fontId="28" fillId="10" borderId="127" applyNumberFormat="0" applyAlignment="0" applyProtection="0">
      <alignment vertical="center"/>
    </xf>
    <xf numFmtId="0" fontId="29" fillId="11" borderId="129" applyNumberFormat="0" applyAlignment="0" applyProtection="0">
      <alignment vertical="center"/>
    </xf>
    <xf numFmtId="0" fontId="30" fillId="0" borderId="130" applyNumberFormat="0" applyFill="0" applyAlignment="0" applyProtection="0">
      <alignment vertical="center"/>
    </xf>
    <xf numFmtId="0" fontId="31" fillId="0" borderId="131" applyNumberFormat="0" applyFill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7" fillId="0" borderId="0"/>
    <xf numFmtId="0" fontId="38" fillId="0" borderId="0"/>
    <xf numFmtId="0" fontId="38" fillId="0" borderId="0"/>
  </cellStyleXfs>
  <cellXfs count="289">
    <xf numFmtId="0" fontId="0" fillId="0" borderId="0" xfId="0"/>
    <xf numFmtId="15" fontId="0" fillId="0" borderId="1" xfId="0" applyNumberFormat="1" applyFont="1" applyFill="1" applyBorder="1" applyAlignment="1">
      <alignment wrapText="1"/>
    </xf>
    <xf numFmtId="0" fontId="1" fillId="2" borderId="0" xfId="0" applyFont="1" applyFill="1" applyAlignment="1">
      <alignment horizontal="center"/>
    </xf>
    <xf numFmtId="0" fontId="0" fillId="0" borderId="2" xfId="0" applyBorder="1" applyAlignment="1">
      <alignment vertical="center"/>
    </xf>
    <xf numFmtId="2" fontId="0" fillId="0" borderId="2" xfId="0" applyNumberFormat="1" applyBorder="1" applyAlignment="1">
      <alignment vertical="center"/>
    </xf>
    <xf numFmtId="49" fontId="0" fillId="0" borderId="2" xfId="0" applyNumberFormat="1" applyBorder="1" applyAlignment="1">
      <alignment vertical="center"/>
    </xf>
    <xf numFmtId="178" fontId="0" fillId="0" borderId="2" xfId="0" applyNumberFormat="1" applyBorder="1" applyAlignment="1">
      <alignment vertical="center"/>
    </xf>
    <xf numFmtId="0" fontId="0" fillId="0" borderId="1" xfId="0" applyBorder="1" applyAlignment="1">
      <alignment wrapText="1"/>
    </xf>
    <xf numFmtId="0" fontId="2" fillId="3" borderId="0" xfId="0" applyFont="1" applyFill="1"/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left"/>
    </xf>
    <xf numFmtId="1" fontId="4" fillId="3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2" fillId="3" borderId="3" xfId="0" applyFont="1" applyFill="1" applyBorder="1"/>
    <xf numFmtId="0" fontId="6" fillId="0" borderId="0" xfId="0" applyFont="1" applyAlignment="1">
      <alignment vertical="center"/>
    </xf>
    <xf numFmtId="0" fontId="2" fillId="3" borderId="0" xfId="0" applyFont="1" applyFill="1" applyAlignment="1">
      <alignment horizontal="center"/>
    </xf>
    <xf numFmtId="1" fontId="2" fillId="3" borderId="0" xfId="0" applyNumberFormat="1" applyFont="1" applyFill="1"/>
    <xf numFmtId="0" fontId="6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2" fillId="3" borderId="4" xfId="0" applyFont="1" applyFill="1" applyBorder="1" applyAlignment="1">
      <alignment horizontal="center"/>
    </xf>
    <xf numFmtId="0" fontId="2" fillId="3" borderId="4" xfId="0" applyFont="1" applyFill="1" applyBorder="1"/>
    <xf numFmtId="0" fontId="2" fillId="0" borderId="0" xfId="0" applyFont="1"/>
    <xf numFmtId="0" fontId="6" fillId="3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 wrapText="1"/>
    </xf>
    <xf numFmtId="0" fontId="6" fillId="4" borderId="8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 vertical="center" wrapText="1" shrinkToFit="1"/>
    </xf>
    <xf numFmtId="0" fontId="7" fillId="5" borderId="9" xfId="0" applyFont="1" applyFill="1" applyBorder="1" applyAlignment="1">
      <alignment horizontal="center" vertical="center" wrapText="1" shrinkToFit="1"/>
    </xf>
    <xf numFmtId="0" fontId="3" fillId="5" borderId="9" xfId="0" applyFont="1" applyFill="1" applyBorder="1" applyAlignment="1">
      <alignment horizontal="center" vertical="center" wrapText="1" shrinkToFit="1"/>
    </xf>
    <xf numFmtId="1" fontId="3" fillId="5" borderId="9" xfId="0" applyNumberFormat="1" applyFont="1" applyFill="1" applyBorder="1" applyAlignment="1">
      <alignment horizontal="center" vertical="center" wrapText="1" shrinkToFit="1"/>
    </xf>
    <xf numFmtId="0" fontId="3" fillId="6" borderId="9" xfId="0" applyFont="1" applyFill="1" applyBorder="1" applyAlignment="1">
      <alignment horizontal="center" vertical="center" wrapText="1" shrinkToFit="1"/>
    </xf>
    <xf numFmtId="0" fontId="3" fillId="5" borderId="9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0" fillId="0" borderId="8" xfId="0" applyBorder="1"/>
    <xf numFmtId="0" fontId="8" fillId="0" borderId="8" xfId="0" applyFont="1" applyBorder="1"/>
    <xf numFmtId="0" fontId="4" fillId="0" borderId="8" xfId="0" applyFont="1" applyBorder="1" applyAlignment="1">
      <alignment vertical="center"/>
    </xf>
    <xf numFmtId="179" fontId="8" fillId="0" borderId="8" xfId="0" applyNumberFormat="1" applyFont="1" applyBorder="1" applyAlignment="1">
      <alignment horizontal="center" vertical="center"/>
    </xf>
    <xf numFmtId="179" fontId="4" fillId="3" borderId="8" xfId="0" applyNumberFormat="1" applyFont="1" applyFill="1" applyBorder="1" applyAlignment="1">
      <alignment horizontal="center" vertical="center"/>
    </xf>
    <xf numFmtId="1" fontId="4" fillId="3" borderId="8" xfId="0" applyNumberFormat="1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1" fontId="4" fillId="3" borderId="8" xfId="0" applyNumberFormat="1" applyFont="1" applyFill="1" applyBorder="1" applyAlignment="1">
      <alignment horizontal="center" vertical="center" wrapText="1"/>
    </xf>
    <xf numFmtId="1" fontId="4" fillId="3" borderId="0" xfId="0" applyNumberFormat="1" applyFont="1" applyFill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/>
    </xf>
    <xf numFmtId="0" fontId="4" fillId="3" borderId="8" xfId="0" applyFont="1" applyFill="1" applyBorder="1" applyAlignment="1">
      <alignment horizontal="center"/>
    </xf>
    <xf numFmtId="0" fontId="9" fillId="0" borderId="8" xfId="0" applyFont="1" applyBorder="1"/>
    <xf numFmtId="1" fontId="10" fillId="3" borderId="8" xfId="0" applyNumberFormat="1" applyFont="1" applyFill="1" applyBorder="1" applyAlignment="1">
      <alignment horizontal="center"/>
    </xf>
    <xf numFmtId="1" fontId="5" fillId="3" borderId="0" xfId="0" applyNumberFormat="1" applyFont="1" applyFill="1" applyAlignment="1">
      <alignment horizontal="center"/>
    </xf>
    <xf numFmtId="0" fontId="11" fillId="0" borderId="0" xfId="0" applyFont="1"/>
    <xf numFmtId="0" fontId="12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1" fillId="0" borderId="11" xfId="0" applyFont="1" applyBorder="1"/>
    <xf numFmtId="0" fontId="14" fillId="0" borderId="13" xfId="0" applyFont="1" applyBorder="1" applyAlignment="1">
      <alignment horizontal="left" vertical="top"/>
    </xf>
    <xf numFmtId="0" fontId="11" fillId="0" borderId="14" xfId="0" applyFont="1" applyBorder="1" applyAlignment="1">
      <alignment horizontal="left" vertical="top"/>
    </xf>
    <xf numFmtId="0" fontId="11" fillId="0" borderId="15" xfId="0" applyFont="1" applyBorder="1" applyAlignment="1">
      <alignment horizontal="left" vertical="top"/>
    </xf>
    <xf numFmtId="0" fontId="13" fillId="0" borderId="1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left" vertical="top"/>
    </xf>
    <xf numFmtId="0" fontId="11" fillId="0" borderId="19" xfId="0" applyFont="1" applyBorder="1" applyAlignment="1">
      <alignment horizontal="left" vertical="top"/>
    </xf>
    <xf numFmtId="0" fontId="11" fillId="0" borderId="20" xfId="0" applyFont="1" applyBorder="1" applyAlignment="1">
      <alignment horizontal="left" vertical="top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1" fillId="0" borderId="24" xfId="0" applyFont="1" applyBorder="1"/>
    <xf numFmtId="0" fontId="14" fillId="0" borderId="25" xfId="0" applyFont="1" applyBorder="1" applyAlignment="1">
      <alignment horizontal="left" vertical="top"/>
    </xf>
    <xf numFmtId="0" fontId="11" fillId="0" borderId="26" xfId="0" applyFont="1" applyBorder="1" applyAlignment="1">
      <alignment horizontal="left" vertical="top"/>
    </xf>
    <xf numFmtId="0" fontId="11" fillId="0" borderId="27" xfId="0" applyFont="1" applyBorder="1" applyAlignment="1">
      <alignment horizontal="left" vertical="top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33" xfId="0" applyFont="1" applyBorder="1" applyAlignment="1">
      <alignment horizontal="left"/>
    </xf>
    <xf numFmtId="0" fontId="4" fillId="0" borderId="34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49" fontId="4" fillId="0" borderId="36" xfId="0" applyNumberFormat="1" applyFont="1" applyBorder="1" applyAlignment="1">
      <alignment horizontal="center"/>
    </xf>
    <xf numFmtId="0" fontId="4" fillId="0" borderId="37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11" fillId="0" borderId="16" xfId="0" applyFont="1" applyBorder="1"/>
    <xf numFmtId="0" fontId="11" fillId="0" borderId="38" xfId="0" applyFont="1" applyBorder="1"/>
    <xf numFmtId="0" fontId="11" fillId="0" borderId="26" xfId="0" applyFont="1" applyBorder="1"/>
    <xf numFmtId="0" fontId="11" fillId="0" borderId="17" xfId="0" applyFont="1" applyBorder="1"/>
    <xf numFmtId="0" fontId="13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0" fontId="13" fillId="0" borderId="40" xfId="0" applyFont="1" applyBorder="1" applyAlignment="1">
      <alignment horizontal="center"/>
    </xf>
    <xf numFmtId="0" fontId="11" fillId="0" borderId="41" xfId="0" applyFont="1" applyBorder="1" applyAlignment="1">
      <alignment horizontal="center"/>
    </xf>
    <xf numFmtId="0" fontId="11" fillId="0" borderId="42" xfId="0" applyFont="1" applyBorder="1" applyAlignment="1">
      <alignment horizontal="center"/>
    </xf>
    <xf numFmtId="0" fontId="11" fillId="0" borderId="28" xfId="0" applyFont="1" applyBorder="1" applyAlignment="1">
      <alignment horizontal="left"/>
    </xf>
    <xf numFmtId="0" fontId="11" fillId="0" borderId="29" xfId="0" applyFont="1" applyBorder="1" applyAlignment="1">
      <alignment horizontal="left"/>
    </xf>
    <xf numFmtId="0" fontId="11" fillId="0" borderId="30" xfId="0" applyFont="1" applyBorder="1" applyAlignment="1">
      <alignment horizontal="left"/>
    </xf>
    <xf numFmtId="0" fontId="11" fillId="0" borderId="32" xfId="0" applyFont="1" applyBorder="1"/>
    <xf numFmtId="0" fontId="11" fillId="0" borderId="43" xfId="0" applyFont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31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0" fontId="11" fillId="0" borderId="16" xfId="0" applyFont="1" applyBorder="1" applyAlignment="1">
      <alignment horizontal="left" wrapText="1"/>
    </xf>
    <xf numFmtId="0" fontId="11" fillId="0" borderId="21" xfId="0" applyFont="1" applyBorder="1" applyAlignment="1">
      <alignment horizontal="left"/>
    </xf>
    <xf numFmtId="0" fontId="11" fillId="0" borderId="22" xfId="0" applyFont="1" applyBorder="1" applyAlignment="1">
      <alignment horizontal="left"/>
    </xf>
    <xf numFmtId="0" fontId="11" fillId="0" borderId="33" xfId="0" applyFont="1" applyBorder="1" applyAlignment="1">
      <alignment horizontal="left"/>
    </xf>
    <xf numFmtId="0" fontId="11" fillId="0" borderId="36" xfId="0" applyFont="1" applyBorder="1" applyAlignment="1">
      <alignment horizontal="center"/>
    </xf>
    <xf numFmtId="0" fontId="11" fillId="0" borderId="22" xfId="0" applyFont="1" applyBorder="1"/>
    <xf numFmtId="0" fontId="11" fillId="0" borderId="44" xfId="0" applyFont="1" applyBorder="1" applyAlignment="1">
      <alignment horizontal="center"/>
    </xf>
    <xf numFmtId="0" fontId="13" fillId="0" borderId="45" xfId="0" applyFont="1" applyBorder="1"/>
    <xf numFmtId="0" fontId="11" fillId="0" borderId="46" xfId="0" applyFont="1" applyBorder="1"/>
    <xf numFmtId="0" fontId="11" fillId="7" borderId="47" xfId="0" applyFont="1" applyFill="1" applyBorder="1" applyAlignment="1">
      <alignment horizontal="center" wrapText="1"/>
    </xf>
    <xf numFmtId="0" fontId="11" fillId="7" borderId="30" xfId="0" applyFont="1" applyFill="1" applyBorder="1" applyAlignment="1">
      <alignment horizontal="center" vertical="center" wrapText="1"/>
    </xf>
    <xf numFmtId="0" fontId="11" fillId="7" borderId="48" xfId="0" applyFont="1" applyFill="1" applyBorder="1" applyAlignment="1">
      <alignment horizontal="center" vertical="center" wrapText="1"/>
    </xf>
    <xf numFmtId="0" fontId="11" fillId="7" borderId="48" xfId="0" applyFont="1" applyFill="1" applyBorder="1" applyAlignment="1">
      <alignment horizontal="center" vertical="center"/>
    </xf>
    <xf numFmtId="0" fontId="11" fillId="7" borderId="49" xfId="0" applyFont="1" applyFill="1" applyBorder="1" applyAlignment="1">
      <alignment horizontal="center" vertical="center" wrapText="1"/>
    </xf>
    <xf numFmtId="0" fontId="11" fillId="7" borderId="50" xfId="0" applyFont="1" applyFill="1" applyBorder="1" applyAlignment="1">
      <alignment horizontal="center" vertical="center" wrapText="1"/>
    </xf>
    <xf numFmtId="0" fontId="13" fillId="7" borderId="29" xfId="0" applyFont="1" applyFill="1" applyBorder="1" applyAlignment="1">
      <alignment horizontal="center" wrapText="1"/>
    </xf>
    <xf numFmtId="0" fontId="13" fillId="7" borderId="48" xfId="0" applyFont="1" applyFill="1" applyBorder="1" applyAlignment="1">
      <alignment horizontal="center" wrapText="1"/>
    </xf>
    <xf numFmtId="0" fontId="13" fillId="7" borderId="51" xfId="0" applyFont="1" applyFill="1" applyBorder="1" applyAlignment="1">
      <alignment horizontal="center"/>
    </xf>
    <xf numFmtId="0" fontId="13" fillId="7" borderId="52" xfId="0" applyFont="1" applyFill="1" applyBorder="1" applyAlignment="1">
      <alignment horizontal="center"/>
    </xf>
    <xf numFmtId="0" fontId="13" fillId="7" borderId="53" xfId="0" applyFont="1" applyFill="1" applyBorder="1" applyAlignment="1">
      <alignment horizontal="center"/>
    </xf>
    <xf numFmtId="0" fontId="13" fillId="7" borderId="30" xfId="0" applyFont="1" applyFill="1" applyBorder="1" applyAlignment="1">
      <alignment horizontal="center"/>
    </xf>
    <xf numFmtId="0" fontId="13" fillId="7" borderId="54" xfId="0" applyFont="1" applyFill="1" applyBorder="1" applyAlignment="1">
      <alignment horizontal="center" vertical="center"/>
    </xf>
    <xf numFmtId="0" fontId="11" fillId="7" borderId="55" xfId="0" applyFont="1" applyFill="1" applyBorder="1" applyAlignment="1">
      <alignment horizontal="center" wrapText="1"/>
    </xf>
    <xf numFmtId="0" fontId="11" fillId="7" borderId="33" xfId="0" applyFont="1" applyFill="1" applyBorder="1"/>
    <xf numFmtId="0" fontId="11" fillId="7" borderId="56" xfId="0" applyFont="1" applyFill="1" applyBorder="1" applyAlignment="1">
      <alignment horizontal="center" vertical="center" wrapText="1"/>
    </xf>
    <xf numFmtId="0" fontId="11" fillId="7" borderId="56" xfId="0" applyFont="1" applyFill="1" applyBorder="1" applyAlignment="1">
      <alignment horizontal="center" vertical="center"/>
    </xf>
    <xf numFmtId="0" fontId="11" fillId="7" borderId="57" xfId="0" applyFont="1" applyFill="1" applyBorder="1" applyAlignment="1">
      <alignment horizontal="center" vertical="center" wrapText="1"/>
    </xf>
    <xf numFmtId="0" fontId="11" fillId="7" borderId="58" xfId="0" applyFont="1" applyFill="1" applyBorder="1" applyAlignment="1">
      <alignment horizontal="center" vertical="center" wrapText="1"/>
    </xf>
    <xf numFmtId="0" fontId="11" fillId="7" borderId="59" xfId="0" applyFont="1" applyFill="1" applyBorder="1" applyAlignment="1">
      <alignment horizontal="center" vertical="center"/>
    </xf>
    <xf numFmtId="0" fontId="11" fillId="7" borderId="35" xfId="0" applyFont="1" applyFill="1" applyBorder="1" applyAlignment="1">
      <alignment horizontal="center" vertical="center"/>
    </xf>
    <xf numFmtId="0" fontId="11" fillId="7" borderId="60" xfId="0" applyFont="1" applyFill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1" fillId="0" borderId="61" xfId="0" applyFont="1" applyBorder="1" applyAlignment="1">
      <alignment wrapText="1"/>
    </xf>
    <xf numFmtId="0" fontId="11" fillId="0" borderId="62" xfId="0" applyFont="1" applyBorder="1" applyAlignment="1">
      <alignment horizontal="center" vertical="center"/>
    </xf>
    <xf numFmtId="0" fontId="11" fillId="0" borderId="48" xfId="0" applyFont="1" applyBorder="1" applyAlignment="1">
      <alignment horizontal="center" vertical="center"/>
    </xf>
    <xf numFmtId="1" fontId="11" fillId="0" borderId="49" xfId="0" applyNumberFormat="1" applyFont="1" applyBorder="1" applyAlignment="1">
      <alignment horizontal="center" vertical="center"/>
    </xf>
    <xf numFmtId="1" fontId="11" fillId="0" borderId="48" xfId="0" applyNumberFormat="1" applyFont="1" applyBorder="1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1" fontId="11" fillId="7" borderId="62" xfId="0" applyNumberFormat="1" applyFont="1" applyFill="1" applyBorder="1" applyAlignment="1">
      <alignment horizontal="center" vertical="center"/>
    </xf>
    <xf numFmtId="9" fontId="11" fillId="0" borderId="63" xfId="0" applyNumberFormat="1" applyFont="1" applyBorder="1" applyAlignment="1">
      <alignment horizontal="center" vertical="center"/>
    </xf>
    <xf numFmtId="0" fontId="11" fillId="0" borderId="5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9" fontId="11" fillId="0" borderId="61" xfId="0" applyNumberFormat="1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7" borderId="17" xfId="0" applyFont="1" applyFill="1" applyBorder="1" applyAlignment="1">
      <alignment horizontal="center" vertical="center"/>
    </xf>
    <xf numFmtId="0" fontId="11" fillId="0" borderId="64" xfId="0" applyFont="1" applyBorder="1" applyAlignment="1">
      <alignment horizontal="center" vertical="center"/>
    </xf>
    <xf numFmtId="0" fontId="11" fillId="0" borderId="65" xfId="0" applyFont="1" applyBorder="1" applyAlignment="1">
      <alignment wrapText="1"/>
    </xf>
    <xf numFmtId="0" fontId="11" fillId="0" borderId="66" xfId="0" applyFont="1" applyBorder="1" applyAlignment="1">
      <alignment horizontal="center" vertical="center"/>
    </xf>
    <xf numFmtId="1" fontId="11" fillId="0" borderId="63" xfId="0" applyNumberFormat="1" applyFont="1" applyBorder="1" applyAlignment="1">
      <alignment horizontal="center" vertical="center"/>
    </xf>
    <xf numFmtId="1" fontId="11" fillId="0" borderId="52" xfId="0" applyNumberFormat="1" applyFont="1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1" fontId="11" fillId="7" borderId="66" xfId="0" applyNumberFormat="1" applyFont="1" applyFill="1" applyBorder="1" applyAlignment="1">
      <alignment horizontal="center" vertical="center"/>
    </xf>
    <xf numFmtId="9" fontId="11" fillId="0" borderId="65" xfId="0" applyNumberFormat="1" applyFont="1" applyBorder="1" applyAlignment="1">
      <alignment horizontal="center" vertical="center"/>
    </xf>
    <xf numFmtId="0" fontId="11" fillId="0" borderId="64" xfId="0" applyFont="1" applyBorder="1" applyAlignment="1">
      <alignment horizontal="center"/>
    </xf>
    <xf numFmtId="0" fontId="13" fillId="0" borderId="0" xfId="0" applyFont="1"/>
    <xf numFmtId="0" fontId="11" fillId="0" borderId="66" xfId="0" applyFont="1" applyBorder="1" applyAlignment="1">
      <alignment horizontal="center"/>
    </xf>
    <xf numFmtId="0" fontId="11" fillId="0" borderId="52" xfId="0" applyFont="1" applyBorder="1" applyAlignment="1">
      <alignment horizontal="center"/>
    </xf>
    <xf numFmtId="0" fontId="11" fillId="0" borderId="63" xfId="0" applyFont="1" applyBorder="1" applyAlignment="1">
      <alignment horizontal="center"/>
    </xf>
    <xf numFmtId="0" fontId="11" fillId="0" borderId="52" xfId="0" applyFont="1" applyBorder="1" applyAlignment="1">
      <alignment horizontal="right"/>
    </xf>
    <xf numFmtId="0" fontId="11" fillId="0" borderId="67" xfId="0" applyFont="1" applyBorder="1" applyAlignment="1">
      <alignment horizontal="right"/>
    </xf>
    <xf numFmtId="0" fontId="11" fillId="7" borderId="66" xfId="0" applyFont="1" applyFill="1" applyBorder="1" applyAlignment="1">
      <alignment horizontal="right"/>
    </xf>
    <xf numFmtId="9" fontId="11" fillId="0" borderId="63" xfId="0" applyNumberFormat="1" applyFont="1" applyBorder="1" applyAlignment="1">
      <alignment horizontal="center"/>
    </xf>
    <xf numFmtId="0" fontId="11" fillId="0" borderId="0" xfId="0" applyFont="1" applyAlignment="1">
      <alignment horizontal="right"/>
    </xf>
    <xf numFmtId="9" fontId="11" fillId="0" borderId="65" xfId="0" applyNumberFormat="1" applyFont="1" applyBorder="1" applyAlignment="1">
      <alignment horizontal="center"/>
    </xf>
    <xf numFmtId="0" fontId="11" fillId="0" borderId="31" xfId="0" applyFont="1" applyBorder="1" applyAlignment="1">
      <alignment horizontal="right"/>
    </xf>
    <xf numFmtId="0" fontId="11" fillId="7" borderId="17" xfId="0" applyFont="1" applyFill="1" applyBorder="1" applyAlignment="1">
      <alignment horizontal="right"/>
    </xf>
    <xf numFmtId="0" fontId="13" fillId="0" borderId="31" xfId="0" applyFont="1" applyBorder="1"/>
    <xf numFmtId="0" fontId="11" fillId="0" borderId="65" xfId="0" applyFont="1" applyBorder="1" applyAlignment="1">
      <alignment horizontal="center"/>
    </xf>
    <xf numFmtId="0" fontId="11" fillId="7" borderId="52" xfId="0" applyFont="1" applyFill="1" applyBorder="1" applyAlignment="1">
      <alignment horizontal="right"/>
    </xf>
    <xf numFmtId="0" fontId="11" fillId="0" borderId="31" xfId="0" applyFont="1" applyBorder="1"/>
    <xf numFmtId="0" fontId="11" fillId="0" borderId="55" xfId="0" applyFont="1" applyBorder="1" applyAlignment="1">
      <alignment horizontal="center"/>
    </xf>
    <xf numFmtId="0" fontId="11" fillId="0" borderId="33" xfId="0" applyFont="1" applyBorder="1"/>
    <xf numFmtId="0" fontId="11" fillId="0" borderId="56" xfId="0" applyFont="1" applyBorder="1" applyAlignment="1">
      <alignment horizontal="center"/>
    </xf>
    <xf numFmtId="0" fontId="11" fillId="0" borderId="57" xfId="0" applyFont="1" applyBorder="1" applyAlignment="1">
      <alignment horizontal="center"/>
    </xf>
    <xf numFmtId="0" fontId="11" fillId="0" borderId="56" xfId="0" applyFont="1" applyBorder="1" applyAlignment="1">
      <alignment horizontal="right"/>
    </xf>
    <xf numFmtId="0" fontId="11" fillId="0" borderId="58" xfId="0" applyFont="1" applyBorder="1" applyAlignment="1">
      <alignment horizontal="right"/>
    </xf>
    <xf numFmtId="0" fontId="11" fillId="7" borderId="56" xfId="0" applyFont="1" applyFill="1" applyBorder="1" applyAlignment="1">
      <alignment horizontal="right"/>
    </xf>
    <xf numFmtId="0" fontId="11" fillId="7" borderId="23" xfId="0" applyFont="1" applyFill="1" applyBorder="1" applyAlignment="1">
      <alignment horizontal="right"/>
    </xf>
    <xf numFmtId="0" fontId="13" fillId="7" borderId="68" xfId="0" applyFont="1" applyFill="1" applyBorder="1" applyAlignment="1">
      <alignment horizontal="right"/>
    </xf>
    <xf numFmtId="0" fontId="11" fillId="7" borderId="69" xfId="0" applyFont="1" applyFill="1" applyBorder="1" applyAlignment="1">
      <alignment horizontal="right"/>
    </xf>
    <xf numFmtId="0" fontId="11" fillId="7" borderId="70" xfId="0" applyFont="1" applyFill="1" applyBorder="1" applyAlignment="1">
      <alignment horizontal="right"/>
    </xf>
    <xf numFmtId="0" fontId="11" fillId="7" borderId="63" xfId="0" applyFont="1" applyFill="1" applyBorder="1"/>
    <xf numFmtId="0" fontId="11" fillId="7" borderId="0" xfId="0" applyFont="1" applyFill="1"/>
    <xf numFmtId="1" fontId="11" fillId="7" borderId="63" xfId="0" applyNumberFormat="1" applyFont="1" applyFill="1" applyBorder="1"/>
    <xf numFmtId="0" fontId="11" fillId="7" borderId="71" xfId="0" applyFont="1" applyFill="1" applyBorder="1"/>
    <xf numFmtId="0" fontId="11" fillId="0" borderId="18" xfId="0" applyFont="1" applyBorder="1"/>
    <xf numFmtId="0" fontId="11" fillId="0" borderId="19" xfId="0" applyFont="1" applyBorder="1"/>
    <xf numFmtId="0" fontId="11" fillId="0" borderId="20" xfId="0" applyFont="1" applyBorder="1"/>
    <xf numFmtId="0" fontId="13" fillId="0" borderId="72" xfId="0" applyFont="1" applyBorder="1" applyAlignment="1">
      <alignment horizontal="left" vertical="center" wrapText="1"/>
    </xf>
    <xf numFmtId="0" fontId="13" fillId="0" borderId="73" xfId="0" applyFont="1" applyBorder="1" applyAlignment="1">
      <alignment horizontal="left" vertical="center" wrapText="1"/>
    </xf>
    <xf numFmtId="0" fontId="13" fillId="0" borderId="74" xfId="0" applyFont="1" applyBorder="1" applyAlignment="1">
      <alignment horizontal="left" vertical="center" wrapText="1"/>
    </xf>
    <xf numFmtId="0" fontId="13" fillId="7" borderId="19" xfId="0" applyFont="1" applyFill="1" applyBorder="1"/>
    <xf numFmtId="0" fontId="11" fillId="7" borderId="75" xfId="0" applyFont="1" applyFill="1" applyBorder="1"/>
    <xf numFmtId="1" fontId="13" fillId="7" borderId="19" xfId="0" applyNumberFormat="1" applyFont="1" applyFill="1" applyBorder="1" applyAlignment="1">
      <alignment horizontal="right"/>
    </xf>
    <xf numFmtId="1" fontId="13" fillId="7" borderId="20" xfId="0" applyNumberFormat="1" applyFont="1" applyFill="1" applyBorder="1" applyAlignment="1">
      <alignment horizontal="right"/>
    </xf>
    <xf numFmtId="0" fontId="13" fillId="0" borderId="76" xfId="0" applyFont="1" applyBorder="1" applyAlignment="1">
      <alignment horizontal="left" vertical="center" wrapText="1"/>
    </xf>
    <xf numFmtId="0" fontId="13" fillId="0" borderId="77" xfId="0" applyFont="1" applyBorder="1" applyAlignment="1">
      <alignment horizontal="left" vertical="center" wrapText="1"/>
    </xf>
    <xf numFmtId="0" fontId="13" fillId="0" borderId="78" xfId="0" applyFont="1" applyBorder="1" applyAlignment="1">
      <alignment horizontal="left" vertical="center" wrapText="1"/>
    </xf>
    <xf numFmtId="0" fontId="11" fillId="0" borderId="79" xfId="0" applyFont="1" applyBorder="1"/>
    <xf numFmtId="0" fontId="11" fillId="0" borderId="75" xfId="0" applyFont="1" applyBorder="1"/>
    <xf numFmtId="2" fontId="11" fillId="0" borderId="19" xfId="0" applyNumberFormat="1" applyFont="1" applyBorder="1" applyAlignment="1">
      <alignment horizontal="right"/>
    </xf>
    <xf numFmtId="2" fontId="11" fillId="0" borderId="20" xfId="0" applyNumberFormat="1" applyFont="1" applyBorder="1" applyAlignment="1">
      <alignment horizontal="right"/>
    </xf>
    <xf numFmtId="0" fontId="13" fillId="0" borderId="80" xfId="0" applyFont="1" applyBorder="1" applyAlignment="1">
      <alignment horizontal="left"/>
    </xf>
    <xf numFmtId="0" fontId="13" fillId="0" borderId="81" xfId="0" applyFont="1" applyBorder="1" applyAlignment="1">
      <alignment horizontal="left"/>
    </xf>
    <xf numFmtId="0" fontId="13" fillId="0" borderId="82" xfId="0" applyFont="1" applyBorder="1" applyAlignment="1">
      <alignment horizontal="left"/>
    </xf>
    <xf numFmtId="2" fontId="11" fillId="0" borderId="0" xfId="0" applyNumberFormat="1" applyFont="1" applyAlignment="1">
      <alignment horizontal="right"/>
    </xf>
    <xf numFmtId="2" fontId="11" fillId="0" borderId="17" xfId="0" applyNumberFormat="1" applyFont="1" applyBorder="1" applyAlignment="1">
      <alignment horizontal="right"/>
    </xf>
    <xf numFmtId="0" fontId="13" fillId="0" borderId="83" xfId="0" applyFont="1" applyBorder="1" applyAlignment="1">
      <alignment horizontal="left"/>
    </xf>
    <xf numFmtId="0" fontId="13" fillId="0" borderId="84" xfId="0" applyFont="1" applyBorder="1" applyAlignment="1">
      <alignment horizontal="left"/>
    </xf>
    <xf numFmtId="0" fontId="13" fillId="0" borderId="85" xfId="0" applyFont="1" applyBorder="1" applyAlignment="1">
      <alignment horizontal="left"/>
    </xf>
    <xf numFmtId="0" fontId="11" fillId="0" borderId="86" xfId="0" applyFont="1" applyBorder="1"/>
    <xf numFmtId="0" fontId="11" fillId="0" borderId="73" xfId="0" applyFont="1" applyBorder="1"/>
    <xf numFmtId="0" fontId="11" fillId="0" borderId="52" xfId="0" applyFont="1" applyBorder="1"/>
    <xf numFmtId="0" fontId="11" fillId="0" borderId="83" xfId="0" applyFont="1" applyBorder="1" applyAlignment="1">
      <alignment horizontal="left"/>
    </xf>
    <xf numFmtId="0" fontId="11" fillId="0" borderId="84" xfId="0" applyFont="1" applyBorder="1" applyAlignment="1">
      <alignment horizontal="left"/>
    </xf>
    <xf numFmtId="0" fontId="11" fillId="0" borderId="85" xfId="0" applyFont="1" applyBorder="1" applyAlignment="1">
      <alignment horizontal="left"/>
    </xf>
    <xf numFmtId="0" fontId="11" fillId="0" borderId="81" xfId="0" applyFont="1" applyBorder="1" applyAlignment="1">
      <alignment horizontal="left"/>
    </xf>
    <xf numFmtId="0" fontId="11" fillId="0" borderId="82" xfId="0" applyFont="1" applyBorder="1" applyAlignment="1">
      <alignment horizontal="left"/>
    </xf>
    <xf numFmtId="0" fontId="13" fillId="7" borderId="79" xfId="0" applyFont="1" applyFill="1" applyBorder="1"/>
    <xf numFmtId="2" fontId="13" fillId="7" borderId="87" xfId="0" applyNumberFormat="1" applyFont="1" applyFill="1" applyBorder="1" applyAlignment="1">
      <alignment horizontal="right"/>
    </xf>
    <xf numFmtId="2" fontId="13" fillId="7" borderId="88" xfId="0" applyNumberFormat="1" applyFont="1" applyFill="1" applyBorder="1" applyAlignment="1">
      <alignment horizontal="right"/>
    </xf>
    <xf numFmtId="0" fontId="11" fillId="0" borderId="89" xfId="0" applyFont="1" applyBorder="1" applyAlignment="1">
      <alignment horizontal="left"/>
    </xf>
    <xf numFmtId="0" fontId="11" fillId="0" borderId="90" xfId="0" applyFont="1" applyBorder="1" applyAlignment="1">
      <alignment horizontal="left"/>
    </xf>
    <xf numFmtId="0" fontId="11" fillId="0" borderId="91" xfId="0" applyFont="1" applyBorder="1" applyAlignment="1">
      <alignment horizontal="left"/>
    </xf>
    <xf numFmtId="0" fontId="11" fillId="0" borderId="92" xfId="0" applyFont="1" applyBorder="1" applyAlignment="1">
      <alignment horizontal="left"/>
    </xf>
    <xf numFmtId="0" fontId="13" fillId="7" borderId="26" xfId="0" applyFont="1" applyFill="1" applyBorder="1"/>
    <xf numFmtId="0" fontId="11" fillId="7" borderId="93" xfId="0" applyFont="1" applyFill="1" applyBorder="1"/>
    <xf numFmtId="1" fontId="13" fillId="7" borderId="0" xfId="0" applyNumberFormat="1" applyFont="1" applyFill="1" applyAlignment="1">
      <alignment horizontal="right"/>
    </xf>
    <xf numFmtId="1" fontId="13" fillId="7" borderId="17" xfId="0" applyNumberFormat="1" applyFont="1" applyFill="1" applyBorder="1" applyAlignment="1">
      <alignment horizontal="right"/>
    </xf>
    <xf numFmtId="0" fontId="11" fillId="0" borderId="94" xfId="0" applyFont="1" applyBorder="1" applyAlignment="1">
      <alignment horizontal="left"/>
    </xf>
    <xf numFmtId="0" fontId="11" fillId="0" borderId="95" xfId="0" applyFont="1" applyBorder="1" applyAlignment="1">
      <alignment horizontal="left"/>
    </xf>
    <xf numFmtId="0" fontId="11" fillId="0" borderId="96" xfId="0" applyFont="1" applyBorder="1" applyAlignment="1">
      <alignment horizontal="left"/>
    </xf>
    <xf numFmtId="0" fontId="11" fillId="0" borderId="97" xfId="0" applyFont="1" applyBorder="1" applyAlignment="1">
      <alignment horizontal="left"/>
    </xf>
    <xf numFmtId="0" fontId="11" fillId="0" borderId="98" xfId="0" applyFont="1" applyBorder="1" applyAlignment="1">
      <alignment horizontal="left"/>
    </xf>
    <xf numFmtId="0" fontId="11" fillId="0" borderId="99" xfId="0" applyFont="1" applyBorder="1"/>
    <xf numFmtId="0" fontId="11" fillId="0" borderId="100" xfId="0" applyFont="1" applyBorder="1"/>
    <xf numFmtId="0" fontId="13" fillId="0" borderId="101" xfId="0" applyFont="1" applyBorder="1" applyAlignment="1">
      <alignment horizontal="center"/>
    </xf>
    <xf numFmtId="0" fontId="13" fillId="0" borderId="102" xfId="0" applyFont="1" applyBorder="1" applyAlignment="1">
      <alignment horizontal="center"/>
    </xf>
    <xf numFmtId="0" fontId="13" fillId="0" borderId="103" xfId="0" applyFont="1" applyBorder="1" applyAlignment="1">
      <alignment horizontal="center"/>
    </xf>
    <xf numFmtId="0" fontId="13" fillId="0" borderId="104" xfId="0" applyFont="1" applyBorder="1"/>
    <xf numFmtId="2" fontId="13" fillId="7" borderId="104" xfId="0" applyNumberFormat="1" applyFont="1" applyFill="1" applyBorder="1" applyAlignment="1">
      <alignment horizontal="center"/>
    </xf>
    <xf numFmtId="2" fontId="13" fillId="7" borderId="100" xfId="0" applyNumberFormat="1" applyFont="1" applyFill="1" applyBorder="1" applyAlignment="1">
      <alignment horizontal="center"/>
    </xf>
    <xf numFmtId="0" fontId="11" fillId="0" borderId="105" xfId="0" applyFont="1" applyBorder="1" applyAlignment="1">
      <alignment horizontal="center"/>
    </xf>
    <xf numFmtId="0" fontId="7" fillId="0" borderId="106" xfId="0" applyFont="1" applyBorder="1" applyAlignment="1">
      <alignment horizontal="center"/>
    </xf>
    <xf numFmtId="0" fontId="7" fillId="0" borderId="107" xfId="0" applyFont="1" applyBorder="1" applyAlignment="1">
      <alignment horizontal="center"/>
    </xf>
    <xf numFmtId="0" fontId="7" fillId="0" borderId="108" xfId="0" applyFont="1" applyBorder="1" applyAlignment="1">
      <alignment horizontal="center"/>
    </xf>
    <xf numFmtId="0" fontId="11" fillId="0" borderId="109" xfId="0" applyFont="1" applyBorder="1"/>
    <xf numFmtId="0" fontId="11" fillId="0" borderId="12" xfId="0" applyFont="1" applyBorder="1"/>
    <xf numFmtId="0" fontId="11" fillId="0" borderId="110" xfId="0" applyFont="1" applyBorder="1" applyAlignment="1">
      <alignment horizontal="center"/>
    </xf>
    <xf numFmtId="0" fontId="11" fillId="0" borderId="91" xfId="0" applyFont="1" applyBorder="1"/>
    <xf numFmtId="0" fontId="4" fillId="0" borderId="92" xfId="0" applyFont="1" applyBorder="1" applyAlignment="1">
      <alignment horizontal="left"/>
    </xf>
    <xf numFmtId="2" fontId="13" fillId="0" borderId="111" xfId="0" applyNumberFormat="1" applyFont="1" applyBorder="1" applyAlignment="1">
      <alignment horizontal="center"/>
    </xf>
    <xf numFmtId="2" fontId="11" fillId="0" borderId="112" xfId="0" applyNumberFormat="1" applyFont="1" applyBorder="1" applyAlignment="1">
      <alignment horizontal="center"/>
    </xf>
    <xf numFmtId="2" fontId="11" fillId="0" borderId="113" xfId="0" applyNumberFormat="1" applyFont="1" applyBorder="1" applyAlignment="1">
      <alignment horizontal="center"/>
    </xf>
    <xf numFmtId="0" fontId="11" fillId="0" borderId="114" xfId="0" applyFont="1" applyBorder="1"/>
    <xf numFmtId="2" fontId="11" fillId="0" borderId="115" xfId="0" applyNumberFormat="1" applyFont="1" applyBorder="1"/>
    <xf numFmtId="2" fontId="11" fillId="0" borderId="0" xfId="0" applyNumberFormat="1" applyFont="1"/>
    <xf numFmtId="2" fontId="11" fillId="0" borderId="116" xfId="0" applyNumberFormat="1" applyFont="1" applyBorder="1"/>
    <xf numFmtId="0" fontId="11" fillId="0" borderId="117" xfId="0" applyFont="1" applyBorder="1" applyAlignment="1">
      <alignment horizontal="center"/>
    </xf>
    <xf numFmtId="0" fontId="11" fillId="0" borderId="118" xfId="0" applyFont="1" applyBorder="1" applyAlignment="1">
      <alignment horizontal="center"/>
    </xf>
    <xf numFmtId="0" fontId="11" fillId="0" borderId="119" xfId="0" applyFont="1" applyBorder="1"/>
    <xf numFmtId="0" fontId="11" fillId="0" borderId="21" xfId="0" applyFont="1" applyBorder="1"/>
    <xf numFmtId="0" fontId="11" fillId="0" borderId="77" xfId="0" applyFont="1" applyBorder="1" applyAlignment="1">
      <alignment horizontal="left"/>
    </xf>
    <xf numFmtId="0" fontId="13" fillId="0" borderId="22" xfId="0" applyFont="1" applyBorder="1" applyAlignment="1">
      <alignment horizontal="center"/>
    </xf>
    <xf numFmtId="2" fontId="13" fillId="0" borderId="120" xfId="0" applyNumberFormat="1" applyFont="1" applyBorder="1" applyAlignment="1">
      <alignment horizontal="center"/>
    </xf>
    <xf numFmtId="2" fontId="11" fillId="0" borderId="121" xfId="0" applyNumberFormat="1" applyFont="1" applyBorder="1" applyAlignment="1">
      <alignment horizontal="center"/>
    </xf>
    <xf numFmtId="2" fontId="11" fillId="0" borderId="122" xfId="0" applyNumberFormat="1" applyFont="1" applyBorder="1" applyAlignment="1">
      <alignment horizontal="center"/>
    </xf>
    <xf numFmtId="0" fontId="11" fillId="0" borderId="25" xfId="0" applyFont="1" applyBorder="1"/>
    <xf numFmtId="0" fontId="11" fillId="0" borderId="26" xfId="0" applyFont="1" applyBorder="1" applyAlignment="1">
      <alignment horizontal="right"/>
    </xf>
    <xf numFmtId="0" fontId="11" fillId="0" borderId="27" xfId="0" applyFont="1" applyBorder="1" applyAlignment="1">
      <alignment horizontal="right"/>
    </xf>
    <xf numFmtId="0" fontId="11" fillId="0" borderId="123" xfId="0" applyFont="1" applyBorder="1"/>
    <xf numFmtId="0" fontId="15" fillId="0" borderId="0" xfId="0" applyFont="1"/>
    <xf numFmtId="0" fontId="16" fillId="0" borderId="0" xfId="0" applyFont="1" applyAlignment="1">
      <alignment horizontal="center"/>
    </xf>
    <xf numFmtId="180" fontId="0" fillId="0" borderId="0" xfId="0" applyNumberFormat="1"/>
    <xf numFmtId="0" fontId="0" fillId="0" borderId="0" xfId="0" applyAlignment="1">
      <alignment horizontal="center"/>
    </xf>
    <xf numFmtId="0" fontId="11" fillId="0" borderId="36" xfId="0" applyFont="1" applyBorder="1" applyAlignment="1" quotePrefix="1">
      <alignment horizontal="center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2" xfId="51"/>
    <cellStyle name="Normal 2 2" xfId="52"/>
    <cellStyle name="Normal 3" xfId="53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25400</xdr:rowOff>
    </xdr:from>
    <xdr:to>
      <xdr:col>15</xdr:col>
      <xdr:colOff>571500</xdr:colOff>
      <xdr:row>9</xdr:row>
      <xdr:rowOff>25400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5400"/>
          <a:ext cx="9840595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0:S111"/>
  <sheetViews>
    <sheetView topLeftCell="A18" workbookViewId="0">
      <selection activeCell="M32" sqref="M32"/>
    </sheetView>
  </sheetViews>
  <sheetFormatPr defaultColWidth="9.13636363636364" defaultRowHeight="14"/>
  <cols>
    <col min="1" max="1" width="4.85454545454545" style="56" customWidth="1"/>
    <col min="2" max="2" width="32.8545454545455" style="56" customWidth="1"/>
    <col min="3" max="3" width="8" style="56" customWidth="1"/>
    <col min="4" max="4" width="7" style="56" customWidth="1"/>
    <col min="5" max="5" width="8.57272727272727" style="56" customWidth="1"/>
    <col min="6" max="6" width="7" style="56" customWidth="1"/>
    <col min="7" max="7" width="8.70909090909091" style="56" customWidth="1"/>
    <col min="8" max="9" width="9" style="56" customWidth="1"/>
    <col min="10" max="10" width="5" style="56" customWidth="1"/>
    <col min="11" max="11" width="7.57272727272727" style="56" customWidth="1"/>
    <col min="12" max="12" width="4.85454545454545" style="56" customWidth="1"/>
    <col min="13" max="13" width="7.57272727272727" style="56" customWidth="1"/>
    <col min="14" max="14" width="4.42727272727273" style="56" customWidth="1"/>
    <col min="15" max="15" width="8.28181818181818" style="56" customWidth="1"/>
    <col min="16" max="16" width="8.70909090909091" style="56" customWidth="1"/>
    <col min="17" max="16384" width="9.13636363636364" style="56"/>
  </cols>
  <sheetData>
    <row r="10" ht="14.75"/>
    <row r="11" ht="15.5" spans="1:16">
      <c r="A11" s="57" t="s">
        <v>0</v>
      </c>
      <c r="B11" s="58"/>
      <c r="C11" s="58"/>
      <c r="D11" s="58"/>
      <c r="E11" s="58"/>
      <c r="F11" s="58"/>
      <c r="G11" s="58"/>
      <c r="H11" s="58"/>
      <c r="I11" s="59"/>
      <c r="J11" s="60"/>
      <c r="K11" s="61" t="s">
        <v>1</v>
      </c>
      <c r="L11" s="62"/>
      <c r="M11" s="62"/>
      <c r="N11" s="62"/>
      <c r="O11" s="62"/>
      <c r="P11" s="63"/>
    </row>
    <row r="12" ht="15.5" spans="1:16">
      <c r="A12" s="64"/>
      <c r="B12" s="65"/>
      <c r="C12" s="65"/>
      <c r="D12" s="65"/>
      <c r="E12" s="65"/>
      <c r="F12" s="65"/>
      <c r="G12" s="65"/>
      <c r="H12" s="65"/>
      <c r="I12" s="66"/>
      <c r="J12" s="60"/>
      <c r="K12" s="67" t="s">
        <v>2</v>
      </c>
      <c r="L12" s="68"/>
      <c r="M12" s="68"/>
      <c r="N12" s="68"/>
      <c r="O12" s="68"/>
      <c r="P12" s="69"/>
    </row>
    <row r="13" ht="15.5" spans="1:16">
      <c r="A13" s="70"/>
      <c r="B13" s="71"/>
      <c r="C13" s="71"/>
      <c r="D13" s="71"/>
      <c r="E13" s="71"/>
      <c r="F13" s="71"/>
      <c r="G13" s="71"/>
      <c r="H13" s="71"/>
      <c r="I13" s="72"/>
      <c r="J13" s="73"/>
      <c r="K13" s="74" t="s">
        <v>3</v>
      </c>
      <c r="L13" s="75"/>
      <c r="M13" s="75"/>
      <c r="N13" s="75"/>
      <c r="O13" s="75"/>
      <c r="P13" s="76"/>
    </row>
    <row r="14" ht="14.75" spans="1:16">
      <c r="A14" s="77" t="s">
        <v>4</v>
      </c>
      <c r="B14" s="78"/>
      <c r="C14" s="78" t="s">
        <v>5</v>
      </c>
      <c r="D14" s="78"/>
      <c r="E14" s="78"/>
      <c r="F14" s="78"/>
      <c r="G14" s="78"/>
      <c r="H14" s="79"/>
      <c r="I14" s="80" t="s">
        <v>6</v>
      </c>
      <c r="J14" s="81"/>
      <c r="K14" s="80"/>
      <c r="L14" s="81" t="s">
        <v>7</v>
      </c>
      <c r="M14" s="81"/>
      <c r="N14" s="81"/>
      <c r="O14" s="81"/>
      <c r="P14" s="82"/>
    </row>
    <row r="15" spans="1:16">
      <c r="A15" s="83" t="s">
        <v>8</v>
      </c>
      <c r="B15" s="80"/>
      <c r="C15" s="80" t="s">
        <v>9</v>
      </c>
      <c r="D15" s="80"/>
      <c r="E15" s="80"/>
      <c r="F15" s="80"/>
      <c r="G15" s="80"/>
      <c r="H15" s="84"/>
      <c r="I15" s="80" t="s">
        <v>10</v>
      </c>
      <c r="J15" s="80"/>
      <c r="K15" s="80"/>
      <c r="L15" s="80" t="s">
        <v>7</v>
      </c>
      <c r="M15" s="80"/>
      <c r="N15" s="80"/>
      <c r="O15" s="80"/>
      <c r="P15" s="85"/>
    </row>
    <row r="16" ht="14.75" spans="1:16">
      <c r="A16" s="83" t="s">
        <v>11</v>
      </c>
      <c r="B16" s="80"/>
      <c r="C16" s="80" t="s">
        <v>12</v>
      </c>
      <c r="D16" s="80"/>
      <c r="E16" s="80"/>
      <c r="F16" s="80"/>
      <c r="G16" s="80"/>
      <c r="H16" s="84"/>
      <c r="I16" s="86" t="s">
        <v>13</v>
      </c>
      <c r="J16" s="80"/>
      <c r="K16" s="80"/>
      <c r="L16" s="80" t="s">
        <v>7</v>
      </c>
      <c r="M16" s="80"/>
      <c r="N16" s="80"/>
      <c r="O16" s="80"/>
      <c r="P16" s="85"/>
    </row>
    <row r="17" ht="14.75" spans="1:16">
      <c r="A17" s="87" t="s">
        <v>14</v>
      </c>
      <c r="B17" s="88"/>
      <c r="C17" s="88" t="s">
        <v>15</v>
      </c>
      <c r="D17" s="88"/>
      <c r="E17" s="89"/>
      <c r="F17" s="90" t="s">
        <v>16</v>
      </c>
      <c r="G17" s="91"/>
      <c r="H17" s="92" t="s">
        <v>17</v>
      </c>
      <c r="I17" s="93" t="s">
        <v>18</v>
      </c>
      <c r="J17" s="88"/>
      <c r="K17" s="88"/>
      <c r="L17" s="88" t="s">
        <v>19</v>
      </c>
      <c r="M17" s="88"/>
      <c r="N17" s="88"/>
      <c r="O17" s="88"/>
      <c r="P17" s="94"/>
    </row>
    <row r="18" ht="14.75" spans="1:16">
      <c r="A18" s="95"/>
      <c r="C18" s="96"/>
      <c r="D18" s="97"/>
      <c r="P18" s="98"/>
    </row>
    <row r="19" ht="15.5" spans="1:16">
      <c r="A19" s="99" t="s">
        <v>20</v>
      </c>
      <c r="B19" s="100"/>
      <c r="C19" s="100"/>
      <c r="D19" s="100"/>
      <c r="E19" s="100"/>
      <c r="F19" s="100"/>
      <c r="G19" s="100"/>
      <c r="H19" s="101"/>
      <c r="I19" s="102" t="s">
        <v>21</v>
      </c>
      <c r="J19" s="103"/>
      <c r="K19" s="103"/>
      <c r="L19" s="103"/>
      <c r="M19" s="103"/>
      <c r="N19" s="103"/>
      <c r="O19" s="103"/>
      <c r="P19" s="104"/>
    </row>
    <row r="20" spans="1:16">
      <c r="A20" s="105" t="s">
        <v>22</v>
      </c>
      <c r="B20" s="106"/>
      <c r="C20" s="106"/>
      <c r="D20" s="106"/>
      <c r="E20" s="106"/>
      <c r="F20" s="106"/>
      <c r="G20" s="106"/>
      <c r="H20" s="107"/>
      <c r="I20" s="108" t="s">
        <v>23</v>
      </c>
      <c r="J20" s="106" t="s">
        <v>24</v>
      </c>
      <c r="K20" s="106"/>
      <c r="L20" s="106"/>
      <c r="M20" s="106"/>
      <c r="N20" s="106"/>
      <c r="O20" s="106"/>
      <c r="P20" s="109"/>
    </row>
    <row r="21" spans="1:16">
      <c r="A21" s="110" t="s">
        <v>25</v>
      </c>
      <c r="B21" s="111"/>
      <c r="C21" s="111"/>
      <c r="D21" s="111"/>
      <c r="E21" s="111"/>
      <c r="F21" s="111"/>
      <c r="G21" s="111"/>
      <c r="H21" s="112"/>
      <c r="I21" s="56" t="s">
        <v>26</v>
      </c>
      <c r="J21" s="111" t="s">
        <v>27</v>
      </c>
      <c r="K21" s="111"/>
      <c r="L21" s="111"/>
      <c r="M21" s="111"/>
      <c r="N21" s="111"/>
      <c r="O21" s="111"/>
      <c r="P21" s="113"/>
    </row>
    <row r="22" ht="14.25" customHeight="1" spans="1:16">
      <c r="A22" s="114" t="s">
        <v>28</v>
      </c>
      <c r="B22" s="111"/>
      <c r="C22" s="111"/>
      <c r="D22" s="111"/>
      <c r="E22" s="111"/>
      <c r="F22" s="111"/>
      <c r="G22" s="111"/>
      <c r="H22" s="112"/>
      <c r="I22" s="114" t="s">
        <v>29</v>
      </c>
      <c r="J22" s="111"/>
      <c r="K22" s="111"/>
      <c r="L22" s="111"/>
      <c r="M22" s="111"/>
      <c r="N22" s="111"/>
      <c r="O22" s="111"/>
      <c r="P22" s="112"/>
    </row>
    <row r="23" ht="14.75" spans="1:16">
      <c r="A23" s="110" t="s">
        <v>30</v>
      </c>
      <c r="B23" s="111"/>
      <c r="C23" s="111"/>
      <c r="D23" s="111"/>
      <c r="E23" s="111"/>
      <c r="F23" s="111"/>
      <c r="G23" s="111"/>
      <c r="H23" s="112"/>
      <c r="I23" s="110" t="s">
        <v>30</v>
      </c>
      <c r="J23" s="111"/>
      <c r="K23" s="111"/>
      <c r="L23" s="111"/>
      <c r="M23" s="111"/>
      <c r="N23" s="111"/>
      <c r="O23" s="111"/>
      <c r="P23" s="112"/>
    </row>
    <row r="24" ht="14.75" spans="1:16">
      <c r="A24" s="115" t="s">
        <v>31</v>
      </c>
      <c r="B24" s="116"/>
      <c r="C24" s="116"/>
      <c r="D24" s="116"/>
      <c r="E24" s="117"/>
      <c r="F24" s="90" t="s">
        <v>16</v>
      </c>
      <c r="G24" s="91"/>
      <c r="H24" s="289" t="s">
        <v>17</v>
      </c>
      <c r="I24" s="119" t="s">
        <v>14</v>
      </c>
      <c r="J24" s="116" t="s">
        <v>15</v>
      </c>
      <c r="K24" s="116"/>
      <c r="L24" s="116"/>
      <c r="M24" s="117"/>
      <c r="N24" s="90" t="s">
        <v>16</v>
      </c>
      <c r="O24" s="91"/>
      <c r="P24" s="120">
        <v>27</v>
      </c>
    </row>
    <row r="25" ht="14.75" spans="1:16">
      <c r="A25" s="121" t="s">
        <v>32</v>
      </c>
      <c r="B25" s="122"/>
      <c r="C25" s="122"/>
      <c r="D25" s="122"/>
      <c r="E25" s="122"/>
      <c r="F25" s="122"/>
      <c r="G25" s="122"/>
      <c r="H25" s="122"/>
      <c r="L25" s="122"/>
      <c r="M25" s="122"/>
      <c r="P25" s="98"/>
    </row>
    <row r="26" ht="14.75" spans="1:16">
      <c r="A26" s="123" t="s">
        <v>33</v>
      </c>
      <c r="B26" s="124" t="s">
        <v>34</v>
      </c>
      <c r="C26" s="125" t="s">
        <v>35</v>
      </c>
      <c r="D26" s="126" t="s">
        <v>36</v>
      </c>
      <c r="E26" s="127" t="s">
        <v>37</v>
      </c>
      <c r="F26" s="125" t="s">
        <v>38</v>
      </c>
      <c r="G26" s="126" t="s">
        <v>39</v>
      </c>
      <c r="H26" s="128" t="s">
        <v>40</v>
      </c>
      <c r="I26" s="125" t="s">
        <v>41</v>
      </c>
      <c r="J26" s="129" t="s">
        <v>42</v>
      </c>
      <c r="K26" s="130"/>
      <c r="L26" s="131" t="s">
        <v>43</v>
      </c>
      <c r="M26" s="132"/>
      <c r="N26" s="133" t="s">
        <v>44</v>
      </c>
      <c r="O26" s="134"/>
      <c r="P26" s="135" t="s">
        <v>45</v>
      </c>
    </row>
    <row r="27" ht="22.5" customHeight="1" spans="1:16">
      <c r="A27" s="136"/>
      <c r="B27" s="137"/>
      <c r="C27" s="138"/>
      <c r="D27" s="139"/>
      <c r="E27" s="140"/>
      <c r="F27" s="138"/>
      <c r="G27" s="139"/>
      <c r="H27" s="141"/>
      <c r="I27" s="138"/>
      <c r="J27" s="142" t="s">
        <v>46</v>
      </c>
      <c r="K27" s="143" t="s">
        <v>39</v>
      </c>
      <c r="L27" s="142" t="s">
        <v>46</v>
      </c>
      <c r="M27" s="143" t="s">
        <v>39</v>
      </c>
      <c r="N27" s="142" t="s">
        <v>46</v>
      </c>
      <c r="O27" s="143" t="s">
        <v>39</v>
      </c>
      <c r="P27" s="144"/>
    </row>
    <row r="28" ht="28" spans="1:16">
      <c r="A28" s="145">
        <v>1</v>
      </c>
      <c r="B28" s="146" t="s">
        <v>47</v>
      </c>
      <c r="C28" s="147">
        <v>998519</v>
      </c>
      <c r="D28" s="148" t="s">
        <v>48</v>
      </c>
      <c r="E28" s="149" t="e">
        <f>#REF!</f>
        <v>#REF!</v>
      </c>
      <c r="F28" s="150" t="e">
        <f>#REF!</f>
        <v>#REF!</v>
      </c>
      <c r="G28" s="150" t="e">
        <f>#REF!</f>
        <v>#REF!</v>
      </c>
      <c r="H28" s="151">
        <v>0</v>
      </c>
      <c r="I28" s="152" t="e">
        <f>G28</f>
        <v>#REF!</v>
      </c>
      <c r="J28" s="153">
        <v>0.09</v>
      </c>
      <c r="K28" s="154" t="e">
        <f>ROUNDUP(I28*J28,0)</f>
        <v>#REF!</v>
      </c>
      <c r="L28" s="153">
        <v>0.09</v>
      </c>
      <c r="M28" s="155" t="e">
        <f>ROUNDUP(I28*L28,0)</f>
        <v>#REF!</v>
      </c>
      <c r="N28" s="156"/>
      <c r="O28" s="157" t="e">
        <f>ROUND(I28*N28,0)</f>
        <v>#REF!</v>
      </c>
      <c r="P28" s="158" t="e">
        <f>ROUND(K28+M28+O28,0)</f>
        <v>#REF!</v>
      </c>
    </row>
    <row r="29" ht="28" spans="1:16">
      <c r="A29" s="159">
        <v>2</v>
      </c>
      <c r="B29" s="160" t="s">
        <v>49</v>
      </c>
      <c r="C29" s="161">
        <v>998519</v>
      </c>
      <c r="D29" s="154" t="s">
        <v>48</v>
      </c>
      <c r="E29" s="162" t="e">
        <f>#REF!</f>
        <v>#REF!</v>
      </c>
      <c r="F29" s="163" t="e">
        <f>#REF!</f>
        <v>#REF!</v>
      </c>
      <c r="G29" s="163" t="e">
        <f>#REF!</f>
        <v>#REF!</v>
      </c>
      <c r="H29" s="164">
        <v>0</v>
      </c>
      <c r="I29" s="165" t="e">
        <f>G29</f>
        <v>#REF!</v>
      </c>
      <c r="J29" s="153">
        <v>0.09</v>
      </c>
      <c r="K29" s="154" t="e">
        <f>ROUNDUP(I29*J29,0)</f>
        <v>#REF!</v>
      </c>
      <c r="L29" s="153">
        <v>0.09</v>
      </c>
      <c r="M29" s="155" t="e">
        <f>ROUNDUP(I29*L29,0)</f>
        <v>#REF!</v>
      </c>
      <c r="N29" s="166"/>
      <c r="O29" s="157" t="e">
        <f>ROUND(I29*N29,0)</f>
        <v>#REF!</v>
      </c>
      <c r="P29" s="158" t="e">
        <f>ROUND(K29+M29+O29,0)</f>
        <v>#REF!</v>
      </c>
    </row>
    <row r="30" spans="1:16">
      <c r="A30" s="159"/>
      <c r="B30" s="160"/>
      <c r="C30" s="161"/>
      <c r="D30" s="154"/>
      <c r="E30" s="162"/>
      <c r="F30" s="163"/>
      <c r="G30" s="163"/>
      <c r="H30" s="164"/>
      <c r="I30" s="165"/>
      <c r="J30" s="153"/>
      <c r="K30" s="154"/>
      <c r="L30" s="153"/>
      <c r="M30" s="155"/>
      <c r="N30" s="166"/>
      <c r="O30" s="157"/>
      <c r="P30" s="158"/>
    </row>
    <row r="31" spans="1:16">
      <c r="A31" s="167"/>
      <c r="B31" s="168"/>
      <c r="C31" s="169"/>
      <c r="D31" s="170"/>
      <c r="E31" s="171"/>
      <c r="F31" s="172"/>
      <c r="G31" s="172"/>
      <c r="H31" s="173"/>
      <c r="I31" s="174"/>
      <c r="J31" s="175"/>
      <c r="K31" s="172"/>
      <c r="L31" s="175"/>
      <c r="M31" s="176"/>
      <c r="N31" s="177"/>
      <c r="O31" s="178"/>
      <c r="P31" s="179"/>
    </row>
    <row r="32" spans="1:16">
      <c r="A32" s="167"/>
      <c r="B32" s="180"/>
      <c r="C32" s="170"/>
      <c r="D32" s="170"/>
      <c r="E32" s="171"/>
      <c r="F32" s="172"/>
      <c r="G32" s="172"/>
      <c r="H32" s="173"/>
      <c r="I32" s="174"/>
      <c r="J32" s="171"/>
      <c r="K32" s="172"/>
      <c r="L32" s="171"/>
      <c r="M32" s="176"/>
      <c r="N32" s="181"/>
      <c r="O32" s="178"/>
      <c r="P32" s="179"/>
    </row>
    <row r="33" spans="1:16">
      <c r="A33" s="167"/>
      <c r="B33" s="180"/>
      <c r="C33" s="170"/>
      <c r="D33" s="170"/>
      <c r="E33" s="171"/>
      <c r="F33" s="172"/>
      <c r="G33" s="172"/>
      <c r="H33" s="173"/>
      <c r="I33" s="182"/>
      <c r="J33" s="171"/>
      <c r="K33" s="172"/>
      <c r="L33" s="171"/>
      <c r="M33" s="172"/>
      <c r="N33" s="171"/>
      <c r="O33" s="173"/>
      <c r="P33" s="179"/>
    </row>
    <row r="34" spans="1:16">
      <c r="A34" s="167"/>
      <c r="B34" s="180"/>
      <c r="C34" s="170"/>
      <c r="D34" s="170"/>
      <c r="E34" s="171"/>
      <c r="F34" s="172"/>
      <c r="G34" s="172"/>
      <c r="H34" s="173"/>
      <c r="I34" s="182"/>
      <c r="J34" s="171"/>
      <c r="K34" s="172"/>
      <c r="L34" s="171"/>
      <c r="M34" s="172"/>
      <c r="N34" s="171"/>
      <c r="O34" s="173"/>
      <c r="P34" s="179"/>
    </row>
    <row r="35" spans="1:16">
      <c r="A35" s="167"/>
      <c r="B35" s="183"/>
      <c r="C35" s="170"/>
      <c r="D35" s="170"/>
      <c r="E35" s="171"/>
      <c r="F35" s="172"/>
      <c r="G35" s="172"/>
      <c r="H35" s="173"/>
      <c r="I35" s="182"/>
      <c r="J35" s="171"/>
      <c r="K35" s="172"/>
      <c r="L35" s="171"/>
      <c r="M35" s="172"/>
      <c r="N35" s="171"/>
      <c r="O35" s="173"/>
      <c r="P35" s="179"/>
    </row>
    <row r="36" spans="1:16">
      <c r="A36" s="167"/>
      <c r="B36" s="183"/>
      <c r="C36" s="170"/>
      <c r="D36" s="170"/>
      <c r="E36" s="171"/>
      <c r="F36" s="172"/>
      <c r="G36" s="172"/>
      <c r="H36" s="173"/>
      <c r="I36" s="182"/>
      <c r="J36" s="171"/>
      <c r="K36" s="172"/>
      <c r="L36" s="171"/>
      <c r="M36" s="172"/>
      <c r="N36" s="171"/>
      <c r="O36" s="173"/>
      <c r="P36" s="179"/>
    </row>
    <row r="37" spans="1:16">
      <c r="A37" s="167"/>
      <c r="B37" s="183"/>
      <c r="C37" s="170"/>
      <c r="D37" s="170"/>
      <c r="E37" s="171"/>
      <c r="F37" s="172"/>
      <c r="G37" s="172"/>
      <c r="H37" s="173"/>
      <c r="I37" s="182"/>
      <c r="J37" s="171"/>
      <c r="K37" s="172"/>
      <c r="L37" s="171"/>
      <c r="M37" s="172"/>
      <c r="N37" s="171"/>
      <c r="O37" s="173"/>
      <c r="P37" s="179"/>
    </row>
    <row r="38" spans="1:16">
      <c r="A38" s="167"/>
      <c r="B38" s="183"/>
      <c r="C38" s="170"/>
      <c r="D38" s="170"/>
      <c r="E38" s="171"/>
      <c r="F38" s="172"/>
      <c r="G38" s="172"/>
      <c r="H38" s="173"/>
      <c r="I38" s="182"/>
      <c r="J38" s="171"/>
      <c r="K38" s="172"/>
      <c r="L38" s="171"/>
      <c r="M38" s="172"/>
      <c r="N38" s="171"/>
      <c r="O38" s="173"/>
      <c r="P38" s="179"/>
    </row>
    <row r="39" spans="1:16">
      <c r="A39" s="167"/>
      <c r="B39" s="183"/>
      <c r="C39" s="170"/>
      <c r="D39" s="170"/>
      <c r="E39" s="171"/>
      <c r="F39" s="172"/>
      <c r="G39" s="172"/>
      <c r="H39" s="173"/>
      <c r="I39" s="182"/>
      <c r="J39" s="171"/>
      <c r="K39" s="172"/>
      <c r="L39" s="171"/>
      <c r="M39" s="172"/>
      <c r="N39" s="171"/>
      <c r="O39" s="173"/>
      <c r="P39" s="179"/>
    </row>
    <row r="40" spans="1:16">
      <c r="A40" s="167"/>
      <c r="B40" s="183"/>
      <c r="C40" s="170"/>
      <c r="D40" s="170"/>
      <c r="E40" s="171"/>
      <c r="F40" s="172"/>
      <c r="G40" s="172"/>
      <c r="H40" s="173"/>
      <c r="I40" s="182"/>
      <c r="J40" s="171"/>
      <c r="K40" s="172"/>
      <c r="L40" s="171"/>
      <c r="M40" s="172"/>
      <c r="N40" s="171"/>
      <c r="O40" s="173"/>
      <c r="P40" s="179"/>
    </row>
    <row r="41" spans="1:16">
      <c r="A41" s="167"/>
      <c r="B41" s="183"/>
      <c r="C41" s="170"/>
      <c r="D41" s="170"/>
      <c r="E41" s="171"/>
      <c r="F41" s="172"/>
      <c r="G41" s="172"/>
      <c r="H41" s="173"/>
      <c r="I41" s="182"/>
      <c r="J41" s="171"/>
      <c r="K41" s="172"/>
      <c r="L41" s="171"/>
      <c r="M41" s="172"/>
      <c r="N41" s="171"/>
      <c r="O41" s="173"/>
      <c r="P41" s="179"/>
    </row>
    <row r="42" ht="14.75" spans="1:16">
      <c r="A42" s="184"/>
      <c r="B42" s="185"/>
      <c r="C42" s="186"/>
      <c r="D42" s="186"/>
      <c r="E42" s="187"/>
      <c r="F42" s="188"/>
      <c r="G42" s="188"/>
      <c r="H42" s="189"/>
      <c r="I42" s="190"/>
      <c r="J42" s="187"/>
      <c r="K42" s="188"/>
      <c r="L42" s="187"/>
      <c r="M42" s="188"/>
      <c r="N42" s="187"/>
      <c r="O42" s="189"/>
      <c r="P42" s="191"/>
    </row>
    <row r="43" spans="1:16">
      <c r="A43" s="192" t="s">
        <v>50</v>
      </c>
      <c r="B43" s="193"/>
      <c r="C43" s="193"/>
      <c r="D43" s="194"/>
      <c r="E43" s="195" t="e">
        <f>SUM(E28:E42)</f>
        <v>#REF!</v>
      </c>
      <c r="F43" s="196"/>
      <c r="G43" s="197" t="e">
        <f t="shared" ref="G43:P43" si="0">SUM(G28:G42)</f>
        <v>#REF!</v>
      </c>
      <c r="H43" s="195">
        <f t="shared" si="0"/>
        <v>0</v>
      </c>
      <c r="I43" s="197" t="e">
        <f t="shared" si="0"/>
        <v>#REF!</v>
      </c>
      <c r="J43" s="195"/>
      <c r="K43" s="195" t="e">
        <f t="shared" si="0"/>
        <v>#REF!</v>
      </c>
      <c r="L43" s="195"/>
      <c r="M43" s="195" t="e">
        <f t="shared" si="0"/>
        <v>#REF!</v>
      </c>
      <c r="N43" s="195"/>
      <c r="O43" s="195" t="e">
        <f t="shared" si="0"/>
        <v>#REF!</v>
      </c>
      <c r="P43" s="198" t="e">
        <f t="shared" si="0"/>
        <v>#REF!</v>
      </c>
    </row>
    <row r="44" spans="1:16">
      <c r="A44" s="199"/>
      <c r="B44" s="200"/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1"/>
    </row>
    <row r="45" ht="14.1" customHeight="1" spans="1:16">
      <c r="A45" s="202" t="s">
        <v>51</v>
      </c>
      <c r="B45" s="203"/>
      <c r="C45" s="203"/>
      <c r="D45" s="203"/>
      <c r="E45" s="203"/>
      <c r="F45" s="203"/>
      <c r="G45" s="203"/>
      <c r="H45" s="203"/>
      <c r="I45" s="204"/>
      <c r="J45" s="205" t="s">
        <v>52</v>
      </c>
      <c r="K45" s="205"/>
      <c r="L45" s="205"/>
      <c r="M45" s="205"/>
      <c r="N45" s="206" t="s">
        <v>53</v>
      </c>
      <c r="O45" s="207" t="e">
        <f>+I43</f>
        <v>#REF!</v>
      </c>
      <c r="P45" s="208"/>
    </row>
    <row r="46" ht="15.75" customHeight="1" spans="1:16">
      <c r="A46" s="209"/>
      <c r="B46" s="210"/>
      <c r="C46" s="210"/>
      <c r="D46" s="210"/>
      <c r="E46" s="210"/>
      <c r="F46" s="210"/>
      <c r="G46" s="210"/>
      <c r="H46" s="210"/>
      <c r="I46" s="211"/>
      <c r="J46" s="212" t="s">
        <v>54</v>
      </c>
      <c r="K46" s="200"/>
      <c r="L46" s="200"/>
      <c r="M46" s="200"/>
      <c r="N46" s="213" t="s">
        <v>53</v>
      </c>
      <c r="O46" s="214" t="e">
        <f>+M43</f>
        <v>#REF!</v>
      </c>
      <c r="P46" s="215"/>
    </row>
    <row r="47" ht="14.1" customHeight="1" spans="1:16">
      <c r="A47" s="216" t="s">
        <v>55</v>
      </c>
      <c r="B47" s="217"/>
      <c r="C47" s="217"/>
      <c r="D47" s="217"/>
      <c r="E47" s="217"/>
      <c r="F47" s="217"/>
      <c r="G47" s="217"/>
      <c r="H47" s="217"/>
      <c r="I47" s="218"/>
      <c r="J47" s="200" t="s">
        <v>56</v>
      </c>
      <c r="K47" s="200"/>
      <c r="L47" s="200"/>
      <c r="M47" s="200"/>
      <c r="N47" s="213" t="s">
        <v>53</v>
      </c>
      <c r="O47" s="219" t="e">
        <f>+K43</f>
        <v>#REF!</v>
      </c>
      <c r="P47" s="220"/>
    </row>
    <row r="48" ht="14.1" customHeight="1" spans="1:16">
      <c r="A48" s="221" t="s">
        <v>23</v>
      </c>
      <c r="B48" s="222"/>
      <c r="C48" s="223" t="s">
        <v>57</v>
      </c>
      <c r="D48" s="217"/>
      <c r="E48" s="217"/>
      <c r="F48" s="217"/>
      <c r="G48" s="217"/>
      <c r="H48" s="217"/>
      <c r="I48" s="218"/>
      <c r="J48" s="224" t="s">
        <v>58</v>
      </c>
      <c r="K48" s="225"/>
      <c r="L48" s="225"/>
      <c r="M48" s="225"/>
      <c r="N48" s="226" t="s">
        <v>53</v>
      </c>
      <c r="O48" s="214" t="e">
        <f>+O43</f>
        <v>#REF!</v>
      </c>
      <c r="P48" s="215"/>
    </row>
    <row r="49" ht="14.1" customHeight="1" spans="1:19">
      <c r="A49" s="227" t="s">
        <v>59</v>
      </c>
      <c r="B49" s="228"/>
      <c r="C49" s="229" t="s">
        <v>60</v>
      </c>
      <c r="D49" s="230"/>
      <c r="E49" s="230"/>
      <c r="F49" s="230"/>
      <c r="G49" s="230"/>
      <c r="H49" s="230"/>
      <c r="I49" s="231"/>
      <c r="J49" s="232" t="s">
        <v>61</v>
      </c>
      <c r="K49" s="205"/>
      <c r="L49" s="205"/>
      <c r="M49" s="205"/>
      <c r="N49" s="206" t="s">
        <v>53</v>
      </c>
      <c r="O49" s="233" t="e">
        <f>ROUND(SUM(O46:P48),0)</f>
        <v>#REF!</v>
      </c>
      <c r="P49" s="234"/>
    </row>
    <row r="50" ht="14.1" customHeight="1" spans="1:19">
      <c r="A50" s="235" t="s">
        <v>62</v>
      </c>
      <c r="B50" s="236"/>
      <c r="C50" s="237" t="s">
        <v>63</v>
      </c>
      <c r="D50" s="238"/>
      <c r="E50" s="238"/>
      <c r="F50" s="238"/>
      <c r="G50" s="238"/>
      <c r="H50" s="238"/>
      <c r="I50" s="238"/>
      <c r="J50" s="239" t="s">
        <v>64</v>
      </c>
      <c r="K50" s="239"/>
      <c r="L50" s="239"/>
      <c r="M50" s="239"/>
      <c r="N50" s="240" t="s">
        <v>53</v>
      </c>
      <c r="O50" s="241" t="e">
        <f>ROUND(O45+O49,0)</f>
        <v>#REF!</v>
      </c>
      <c r="P50" s="242"/>
    </row>
    <row r="51" ht="14.1" customHeight="1" spans="1:19">
      <c r="A51" s="243" t="s">
        <v>65</v>
      </c>
      <c r="B51" s="244"/>
      <c r="C51" s="245" t="s">
        <v>66</v>
      </c>
      <c r="D51" s="246"/>
      <c r="E51" s="246"/>
      <c r="F51" s="246"/>
      <c r="G51" s="246"/>
      <c r="H51" s="246"/>
      <c r="I51" s="247"/>
      <c r="J51" s="248"/>
      <c r="K51" s="248"/>
      <c r="L51" s="248"/>
      <c r="M51" s="248"/>
      <c r="N51" s="248"/>
      <c r="O51" s="248"/>
      <c r="P51" s="249"/>
    </row>
    <row r="52" ht="14.1" customHeight="1" spans="1:19">
      <c r="A52" s="250"/>
      <c r="B52" s="251"/>
      <c r="C52" s="251"/>
      <c r="D52" s="251"/>
      <c r="E52" s="251"/>
      <c r="F52" s="251"/>
      <c r="G52" s="251"/>
      <c r="H52" s="251"/>
      <c r="I52" s="252"/>
      <c r="J52" s="253" t="s">
        <v>67</v>
      </c>
      <c r="K52" s="248"/>
      <c r="L52" s="248"/>
      <c r="M52" s="248"/>
      <c r="N52" s="56" t="s">
        <v>53</v>
      </c>
      <c r="O52" s="254" t="s">
        <v>68</v>
      </c>
      <c r="P52" s="255"/>
    </row>
    <row r="53" ht="14.1" customHeight="1" spans="1:19">
      <c r="A53" s="256"/>
      <c r="B53" s="257" t="s">
        <v>57</v>
      </c>
      <c r="C53" s="258"/>
      <c r="D53" s="258"/>
      <c r="E53" s="258"/>
      <c r="F53" s="258"/>
      <c r="G53" s="258"/>
      <c r="H53" s="258"/>
      <c r="I53" s="259"/>
      <c r="J53" s="260"/>
      <c r="K53" s="60"/>
      <c r="L53" s="60"/>
      <c r="M53" s="60"/>
      <c r="N53" s="60"/>
      <c r="O53" s="60"/>
      <c r="P53" s="261"/>
    </row>
    <row r="54" ht="14.1" customHeight="1" spans="1:19">
      <c r="A54" s="262">
        <v>1</v>
      </c>
      <c r="B54" s="263" t="s">
        <v>69</v>
      </c>
      <c r="C54" s="264" t="s">
        <v>70</v>
      </c>
      <c r="D54" s="264"/>
      <c r="E54" s="264"/>
      <c r="F54" s="264"/>
      <c r="G54" s="264"/>
      <c r="H54" s="264"/>
      <c r="I54" s="264"/>
      <c r="J54" s="265" t="s">
        <v>71</v>
      </c>
      <c r="K54" s="266"/>
      <c r="L54" s="266"/>
      <c r="M54" s="266"/>
      <c r="N54" s="266"/>
      <c r="O54" s="266"/>
      <c r="P54" s="267"/>
      <c r="S54" s="268"/>
    </row>
    <row r="55" ht="14.1" customHeight="1" spans="1:19">
      <c r="A55" s="262">
        <v>2</v>
      </c>
      <c r="B55" s="263" t="s">
        <v>72</v>
      </c>
      <c r="C55" s="264" t="s">
        <v>73</v>
      </c>
      <c r="D55" s="264"/>
      <c r="E55" s="264"/>
      <c r="F55" s="264"/>
      <c r="G55" s="264"/>
      <c r="H55" s="264"/>
      <c r="I55" s="264"/>
      <c r="J55" s="269"/>
      <c r="K55" s="270"/>
      <c r="L55" s="270"/>
      <c r="M55" s="270"/>
      <c r="N55" s="270"/>
      <c r="O55" s="270"/>
      <c r="P55" s="271"/>
    </row>
    <row r="56" ht="14.1" customHeight="1" spans="1:19">
      <c r="A56" s="272">
        <v>3</v>
      </c>
      <c r="B56" s="263" t="s">
        <v>74</v>
      </c>
      <c r="C56" s="264" t="s">
        <v>75</v>
      </c>
      <c r="D56" s="264"/>
      <c r="E56" s="264"/>
      <c r="F56" s="264"/>
      <c r="G56" s="264"/>
      <c r="H56" s="264"/>
      <c r="I56" s="264"/>
      <c r="J56" s="269"/>
      <c r="K56" s="270"/>
      <c r="L56" s="270"/>
      <c r="M56" s="270"/>
      <c r="N56" s="270"/>
      <c r="O56" s="270"/>
      <c r="P56" s="271"/>
    </row>
    <row r="57" ht="14.1" customHeight="1" spans="1:19">
      <c r="A57" s="273">
        <v>4</v>
      </c>
      <c r="B57" s="263" t="s">
        <v>76</v>
      </c>
      <c r="C57" s="264" t="s">
        <v>77</v>
      </c>
      <c r="D57" s="264"/>
      <c r="E57" s="264"/>
      <c r="F57" s="264"/>
      <c r="G57" s="264"/>
      <c r="H57" s="264"/>
      <c r="I57" s="264"/>
      <c r="J57" s="269"/>
      <c r="K57" s="270"/>
      <c r="L57" s="270"/>
      <c r="M57" s="270"/>
      <c r="N57" s="270"/>
      <c r="O57" s="270"/>
      <c r="P57" s="271"/>
    </row>
    <row r="58" ht="14.1" customHeight="1" spans="1:19">
      <c r="A58" s="273">
        <v>5</v>
      </c>
      <c r="B58" s="263" t="s">
        <v>78</v>
      </c>
      <c r="C58" s="264" t="s">
        <v>79</v>
      </c>
      <c r="D58" s="264"/>
      <c r="E58" s="264"/>
      <c r="F58" s="264"/>
      <c r="G58" s="264"/>
      <c r="H58" s="264"/>
      <c r="I58" s="264"/>
      <c r="J58" s="269"/>
      <c r="K58" s="270"/>
      <c r="L58" s="270"/>
      <c r="M58" s="270"/>
      <c r="N58" s="270"/>
      <c r="O58" s="270"/>
      <c r="P58" s="271"/>
    </row>
    <row r="59" ht="14.1" customHeight="1" spans="1:19">
      <c r="A59" s="273">
        <v>6</v>
      </c>
      <c r="B59" s="263" t="s">
        <v>80</v>
      </c>
      <c r="C59" s="264" t="s">
        <v>81</v>
      </c>
      <c r="D59" s="264"/>
      <c r="E59" s="264"/>
      <c r="F59" s="264"/>
      <c r="G59" s="264"/>
      <c r="H59" s="264"/>
      <c r="I59" s="264"/>
      <c r="J59" s="269"/>
      <c r="K59" s="270"/>
      <c r="L59" s="270"/>
      <c r="M59" s="270"/>
      <c r="N59" s="270"/>
      <c r="O59" s="270"/>
      <c r="P59" s="271"/>
      <c r="S59" s="274"/>
    </row>
    <row r="60" ht="14.75" spans="1:19">
      <c r="A60" s="275"/>
      <c r="B60" s="276"/>
      <c r="C60" s="276"/>
      <c r="D60" s="276"/>
      <c r="E60" s="276"/>
      <c r="F60" s="276"/>
      <c r="G60" s="277" t="s">
        <v>82</v>
      </c>
      <c r="H60" s="277"/>
      <c r="I60" s="277"/>
      <c r="J60" s="278" t="s">
        <v>83</v>
      </c>
      <c r="K60" s="279"/>
      <c r="L60" s="279"/>
      <c r="M60" s="279"/>
      <c r="N60" s="279"/>
      <c r="O60" s="279"/>
      <c r="P60" s="280"/>
    </row>
    <row r="61" ht="14.75" spans="1:19">
      <c r="A61" s="281"/>
      <c r="B61" s="97"/>
      <c r="C61" s="97"/>
      <c r="D61" s="97"/>
      <c r="E61" s="97"/>
      <c r="F61" s="97"/>
      <c r="G61" s="97"/>
      <c r="H61" s="97"/>
      <c r="I61" s="96"/>
      <c r="J61" s="97"/>
      <c r="K61" s="97"/>
      <c r="L61" s="97"/>
      <c r="M61" s="97"/>
      <c r="N61" s="97"/>
      <c r="O61" s="282"/>
      <c r="P61" s="283"/>
    </row>
    <row r="62" ht="14.75" spans="1:19">
      <c r="A62" s="60"/>
      <c r="K62" s="60"/>
    </row>
    <row r="91" spans="13:13">
      <c r="M91" s="284"/>
    </row>
    <row r="98" ht="21" spans="1:2">
      <c r="A98" s="285"/>
      <c r="B98" s="285"/>
    </row>
    <row r="99" ht="14.5" spans="1:2">
      <c r="A99" s="286"/>
      <c r="B99" s="286"/>
    </row>
    <row r="100" ht="14.5" spans="1:2">
      <c r="A100" s="287"/>
      <c r="B100" s="288"/>
    </row>
    <row r="101" ht="14.5" spans="1:2">
      <c r="A101" s="287"/>
      <c r="B101" s="288"/>
    </row>
    <row r="102" ht="14.5" spans="1:2">
      <c r="A102" s="287"/>
      <c r="B102" s="288"/>
    </row>
    <row r="103" ht="14.5" spans="1:2">
      <c r="A103" s="287"/>
      <c r="B103" s="288"/>
    </row>
    <row r="104" ht="14.5" spans="1:2">
      <c r="A104" s="287"/>
      <c r="B104" s="288"/>
    </row>
    <row r="105" ht="14.5" spans="1:2">
      <c r="A105" s="287"/>
      <c r="B105" s="288"/>
    </row>
    <row r="106" ht="14.5" spans="1:2">
      <c r="A106" s="287"/>
      <c r="B106" s="288"/>
    </row>
    <row r="107" ht="14.5" spans="1:2">
      <c r="A107" s="287"/>
      <c r="B107" s="288"/>
    </row>
    <row r="108" ht="14.5" spans="1:2">
      <c r="A108" s="287"/>
      <c r="B108" s="288"/>
    </row>
    <row r="109" ht="14.5" spans="1:2">
      <c r="A109" s="287"/>
      <c r="B109" s="288"/>
    </row>
    <row r="110" ht="14.5" spans="1:2">
      <c r="A110" s="287"/>
      <c r="B110" s="288"/>
    </row>
    <row r="111" ht="14.5" spans="1:2">
      <c r="A111"/>
      <c r="B111" s="288"/>
    </row>
  </sheetData>
  <mergeCells count="81">
    <mergeCell ref="K11:P11"/>
    <mergeCell ref="K12:P12"/>
    <mergeCell ref="K13:P13"/>
    <mergeCell ref="A14:B14"/>
    <mergeCell ref="C14:H14"/>
    <mergeCell ref="I14:K14"/>
    <mergeCell ref="L14:P14"/>
    <mergeCell ref="A15:B15"/>
    <mergeCell ref="C15:H15"/>
    <mergeCell ref="I15:K15"/>
    <mergeCell ref="L15:P15"/>
    <mergeCell ref="A16:B16"/>
    <mergeCell ref="C16:H16"/>
    <mergeCell ref="I16:K16"/>
    <mergeCell ref="L16:P16"/>
    <mergeCell ref="C17:E17"/>
    <mergeCell ref="F17:G17"/>
    <mergeCell ref="I17:K17"/>
    <mergeCell ref="L17:P17"/>
    <mergeCell ref="A19:H19"/>
    <mergeCell ref="I19:P19"/>
    <mergeCell ref="A20:H20"/>
    <mergeCell ref="J20:P20"/>
    <mergeCell ref="A21:H21"/>
    <mergeCell ref="J21:P21"/>
    <mergeCell ref="A22:H22"/>
    <mergeCell ref="I22:P22"/>
    <mergeCell ref="A23:H23"/>
    <mergeCell ref="I23:P23"/>
    <mergeCell ref="A24:E24"/>
    <mergeCell ref="F24:G24"/>
    <mergeCell ref="J24:M24"/>
    <mergeCell ref="N24:O24"/>
    <mergeCell ref="J26:K26"/>
    <mergeCell ref="L26:M26"/>
    <mergeCell ref="N26:O26"/>
    <mergeCell ref="A43:D43"/>
    <mergeCell ref="J45:M45"/>
    <mergeCell ref="O45:P45"/>
    <mergeCell ref="J46:M46"/>
    <mergeCell ref="O46:P46"/>
    <mergeCell ref="A47:I47"/>
    <mergeCell ref="J47:M47"/>
    <mergeCell ref="O47:P47"/>
    <mergeCell ref="A48:B48"/>
    <mergeCell ref="C48:I48"/>
    <mergeCell ref="J48:M48"/>
    <mergeCell ref="O48:P48"/>
    <mergeCell ref="A49:B49"/>
    <mergeCell ref="C49:I49"/>
    <mergeCell ref="J49:M49"/>
    <mergeCell ref="O49:P49"/>
    <mergeCell ref="J50:M50"/>
    <mergeCell ref="O50:P50"/>
    <mergeCell ref="A51:B51"/>
    <mergeCell ref="A52:I52"/>
    <mergeCell ref="J52:M52"/>
    <mergeCell ref="O52:P52"/>
    <mergeCell ref="B53:I53"/>
    <mergeCell ref="C54:I54"/>
    <mergeCell ref="J54:P54"/>
    <mergeCell ref="C55:I55"/>
    <mergeCell ref="C56:I56"/>
    <mergeCell ref="C57:I57"/>
    <mergeCell ref="C59:I59"/>
    <mergeCell ref="B60:F60"/>
    <mergeCell ref="G60:I60"/>
    <mergeCell ref="J60:P60"/>
    <mergeCell ref="O61:P61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P26:P27"/>
    <mergeCell ref="A45:I46"/>
    <mergeCell ref="A11:I13"/>
  </mergeCells>
  <printOptions horizontalCentered="1"/>
  <pageMargins left="0.393700787401575" right="0.393700787401575" top="2.36220472440945" bottom="0" header="0" footer="0"/>
  <pageSetup paperSize="9" scale="49" orientation="portrait" blackAndWhite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H29"/>
  <sheetViews>
    <sheetView zoomScale="85" zoomScaleNormal="85" workbookViewId="0">
      <pane xSplit="5" ySplit="9" topLeftCell="F10" activePane="bottomRight" state="frozen"/>
      <selection/>
      <selection pane="topRight"/>
      <selection pane="bottomLeft"/>
      <selection pane="bottomRight" activeCell="I28" sqref="I28"/>
    </sheetView>
  </sheetViews>
  <sheetFormatPr defaultColWidth="9" defaultRowHeight="15"/>
  <cols>
    <col min="1" max="1" width="4.85454545454545" style="12" customWidth="1"/>
    <col min="2" max="2" width="10.8545454545455" style="12" customWidth="1"/>
    <col min="3" max="3" width="14" style="12" customWidth="1"/>
    <col min="4" max="4" width="21.8545454545455" style="13" customWidth="1"/>
    <col min="5" max="5" width="14.1363636363636" style="13" customWidth="1"/>
    <col min="6" max="6" width="11.8545454545455" style="12" customWidth="1"/>
    <col min="7" max="7" width="9.85454545454546" style="12" customWidth="1"/>
    <col min="8" max="8" width="8.57272727272727" style="12" customWidth="1"/>
    <col min="9" max="9" width="13.1363636363636" style="12" customWidth="1"/>
    <col min="10" max="10" width="11.4272727272727" style="12" customWidth="1"/>
    <col min="11" max="11" width="10.7090909090909" style="12" customWidth="1"/>
    <col min="12" max="12" width="10.5727272727273" style="12" customWidth="1"/>
    <col min="13" max="13" width="7.57272727272727" style="12" customWidth="1"/>
    <col min="14" max="14" width="7.70909090909091" style="12" customWidth="1"/>
    <col min="15" max="15" width="6.42727272727273" style="12" customWidth="1"/>
    <col min="16" max="16" width="9.70909090909091" style="12" customWidth="1"/>
    <col min="17" max="17" width="8.85454545454546" style="12" customWidth="1"/>
    <col min="18" max="18" width="10.5727272727273" style="12" customWidth="1"/>
    <col min="19" max="19" width="11.5727272727273" style="12" customWidth="1"/>
    <col min="20" max="20" width="12.1363636363636" style="12" customWidth="1"/>
    <col min="21" max="21" width="10.5727272727273" style="12" customWidth="1"/>
    <col min="22" max="22" width="7.85454545454545" style="12" customWidth="1"/>
    <col min="23" max="23" width="9.85454545454546" style="14" customWidth="1"/>
    <col min="24" max="24" width="8.70909090909091" style="12" customWidth="1"/>
    <col min="25" max="25" width="7.70909090909091" style="15" customWidth="1"/>
    <col min="26" max="26" width="7.85454545454545" style="15" customWidth="1"/>
    <col min="27" max="27" width="12" style="15" customWidth="1"/>
    <col min="28" max="28" width="9.13636363636364" style="15" customWidth="1"/>
    <col min="29" max="29" width="13.5727272727273" style="15" customWidth="1"/>
    <col min="30" max="30" width="8.42727272727273" style="15" customWidth="1"/>
    <col min="31" max="31" width="9.57272727272727" style="15" customWidth="1"/>
    <col min="32" max="32" width="9.85454545454546" style="15" customWidth="1"/>
    <col min="33" max="244" width="8.70909090909091" style="15"/>
    <col min="245" max="245" width="5.57272727272727" style="15" customWidth="1"/>
    <col min="246" max="248" width="9" style="15" hidden="1" customWidth="1"/>
    <col min="249" max="249" width="20.1363636363636" style="15" customWidth="1"/>
    <col min="250" max="250" width="10.2818181818182" style="15" customWidth="1"/>
    <col min="251" max="251" width="8.57272727272727" style="15" customWidth="1"/>
    <col min="252" max="252" width="11.2818181818182" style="15" customWidth="1"/>
    <col min="253" max="253" width="6.42727272727273" style="15" customWidth="1"/>
    <col min="254" max="254" width="5.85454545454545" style="15" customWidth="1"/>
    <col min="255" max="255" width="6" style="15" customWidth="1"/>
    <col min="256" max="256" width="10.7090909090909" style="15" customWidth="1"/>
    <col min="257" max="257" width="12.7090909090909" style="15" customWidth="1"/>
    <col min="258" max="258" width="9" style="15" hidden="1" customWidth="1"/>
    <col min="259" max="259" width="6.70909090909091" style="15" customWidth="1"/>
    <col min="260" max="260" width="8.70909090909091" style="15"/>
    <col min="261" max="261" width="8.28181818181818" style="15" customWidth="1"/>
    <col min="262" max="263" width="9" style="15" hidden="1" customWidth="1"/>
    <col min="264" max="265" width="6.70909090909091" style="15" customWidth="1"/>
    <col min="266" max="266" width="6" style="15" customWidth="1"/>
    <col min="267" max="267" width="10.7090909090909" style="15" customWidth="1"/>
    <col min="268" max="268" width="12.7090909090909" style="15" customWidth="1"/>
    <col min="269" max="270" width="9" style="15" hidden="1" customWidth="1"/>
    <col min="271" max="271" width="6.70909090909091" style="15" customWidth="1"/>
    <col min="272" max="272" width="4.42727272727273" style="15" customWidth="1"/>
    <col min="273" max="273" width="6.13636363636364" style="15" customWidth="1"/>
    <col min="274" max="274" width="5.57272727272727" style="15" customWidth="1"/>
    <col min="275" max="275" width="8" style="15" customWidth="1"/>
    <col min="276" max="276" width="10.7090909090909" style="15" customWidth="1"/>
    <col min="277" max="277" width="8.70909090909091" style="15" customWidth="1"/>
    <col min="278" max="278" width="10.1363636363636" style="15" customWidth="1"/>
    <col min="279" max="279" width="7.42727272727273" style="15" customWidth="1"/>
    <col min="280" max="280" width="8.42727272727273" style="15" customWidth="1"/>
    <col min="281" max="281" width="8.13636363636364" style="15" customWidth="1"/>
    <col min="282" max="282" width="9.42727272727273" style="15" customWidth="1"/>
    <col min="283" max="283" width="12" style="15" customWidth="1"/>
    <col min="284" max="284" width="8.70909090909091" style="15"/>
    <col min="285" max="285" width="9.85454545454546" style="15" customWidth="1"/>
    <col min="286" max="286" width="9.70909090909091" style="15" customWidth="1"/>
    <col min="287" max="287" width="8.42727272727273" style="15" customWidth="1"/>
    <col min="288" max="500" width="8.70909090909091" style="15"/>
    <col min="501" max="501" width="5.57272727272727" style="15" customWidth="1"/>
    <col min="502" max="504" width="9" style="15" hidden="1" customWidth="1"/>
    <col min="505" max="505" width="20.1363636363636" style="15" customWidth="1"/>
    <col min="506" max="506" width="10.2818181818182" style="15" customWidth="1"/>
    <col min="507" max="507" width="8.57272727272727" style="15" customWidth="1"/>
    <col min="508" max="508" width="11.2818181818182" style="15" customWidth="1"/>
    <col min="509" max="509" width="6.42727272727273" style="15" customWidth="1"/>
    <col min="510" max="510" width="5.85454545454545" style="15" customWidth="1"/>
    <col min="511" max="511" width="6" style="15" customWidth="1"/>
    <col min="512" max="512" width="10.7090909090909" style="15" customWidth="1"/>
    <col min="513" max="513" width="12.7090909090909" style="15" customWidth="1"/>
    <col min="514" max="514" width="9" style="15" hidden="1" customWidth="1"/>
    <col min="515" max="515" width="6.70909090909091" style="15" customWidth="1"/>
    <col min="516" max="516" width="8.70909090909091" style="15"/>
    <col min="517" max="517" width="8.28181818181818" style="15" customWidth="1"/>
    <col min="518" max="519" width="9" style="15" hidden="1" customWidth="1"/>
    <col min="520" max="521" width="6.70909090909091" style="15" customWidth="1"/>
    <col min="522" max="522" width="6" style="15" customWidth="1"/>
    <col min="523" max="523" width="10.7090909090909" style="15" customWidth="1"/>
    <col min="524" max="524" width="12.7090909090909" style="15" customWidth="1"/>
    <col min="525" max="526" width="9" style="15" hidden="1" customWidth="1"/>
    <col min="527" max="527" width="6.70909090909091" style="15" customWidth="1"/>
    <col min="528" max="528" width="4.42727272727273" style="15" customWidth="1"/>
    <col min="529" max="529" width="6.13636363636364" style="15" customWidth="1"/>
    <col min="530" max="530" width="5.57272727272727" style="15" customWidth="1"/>
    <col min="531" max="531" width="8" style="15" customWidth="1"/>
    <col min="532" max="532" width="10.7090909090909" style="15" customWidth="1"/>
    <col min="533" max="533" width="8.70909090909091" style="15" customWidth="1"/>
    <col min="534" max="534" width="10.1363636363636" style="15" customWidth="1"/>
    <col min="535" max="535" width="7.42727272727273" style="15" customWidth="1"/>
    <col min="536" max="536" width="8.42727272727273" style="15" customWidth="1"/>
    <col min="537" max="537" width="8.13636363636364" style="15" customWidth="1"/>
    <col min="538" max="538" width="9.42727272727273" style="15" customWidth="1"/>
    <col min="539" max="539" width="12" style="15" customWidth="1"/>
    <col min="540" max="540" width="8.70909090909091" style="15"/>
    <col min="541" max="541" width="9.85454545454546" style="15" customWidth="1"/>
    <col min="542" max="542" width="9.70909090909091" style="15" customWidth="1"/>
    <col min="543" max="543" width="8.42727272727273" style="15" customWidth="1"/>
    <col min="544" max="756" width="8.70909090909091" style="15"/>
    <col min="757" max="757" width="5.57272727272727" style="15" customWidth="1"/>
    <col min="758" max="760" width="9" style="15" hidden="1" customWidth="1"/>
    <col min="761" max="761" width="20.1363636363636" style="15" customWidth="1"/>
    <col min="762" max="762" width="10.2818181818182" style="15" customWidth="1"/>
    <col min="763" max="763" width="8.57272727272727" style="15" customWidth="1"/>
    <col min="764" max="764" width="11.2818181818182" style="15" customWidth="1"/>
    <col min="765" max="765" width="6.42727272727273" style="15" customWidth="1"/>
    <col min="766" max="766" width="5.85454545454545" style="15" customWidth="1"/>
    <col min="767" max="767" width="6" style="15" customWidth="1"/>
    <col min="768" max="768" width="10.7090909090909" style="15" customWidth="1"/>
    <col min="769" max="769" width="12.7090909090909" style="15" customWidth="1"/>
    <col min="770" max="770" width="9" style="15" hidden="1" customWidth="1"/>
    <col min="771" max="771" width="6.70909090909091" style="15" customWidth="1"/>
    <col min="772" max="772" width="8.70909090909091" style="15"/>
    <col min="773" max="773" width="8.28181818181818" style="15" customWidth="1"/>
    <col min="774" max="775" width="9" style="15" hidden="1" customWidth="1"/>
    <col min="776" max="777" width="6.70909090909091" style="15" customWidth="1"/>
    <col min="778" max="778" width="6" style="15" customWidth="1"/>
    <col min="779" max="779" width="10.7090909090909" style="15" customWidth="1"/>
    <col min="780" max="780" width="12.7090909090909" style="15" customWidth="1"/>
    <col min="781" max="782" width="9" style="15" hidden="1" customWidth="1"/>
    <col min="783" max="783" width="6.70909090909091" style="15" customWidth="1"/>
    <col min="784" max="784" width="4.42727272727273" style="15" customWidth="1"/>
    <col min="785" max="785" width="6.13636363636364" style="15" customWidth="1"/>
    <col min="786" max="786" width="5.57272727272727" style="15" customWidth="1"/>
    <col min="787" max="787" width="8" style="15" customWidth="1"/>
    <col min="788" max="788" width="10.7090909090909" style="15" customWidth="1"/>
    <col min="789" max="789" width="8.70909090909091" style="15" customWidth="1"/>
    <col min="790" max="790" width="10.1363636363636" style="15" customWidth="1"/>
    <col min="791" max="791" width="7.42727272727273" style="15" customWidth="1"/>
    <col min="792" max="792" width="8.42727272727273" style="15" customWidth="1"/>
    <col min="793" max="793" width="8.13636363636364" style="15" customWidth="1"/>
    <col min="794" max="794" width="9.42727272727273" style="15" customWidth="1"/>
    <col min="795" max="795" width="12" style="15" customWidth="1"/>
    <col min="796" max="796" width="8.70909090909091" style="15"/>
    <col min="797" max="797" width="9.85454545454546" style="15" customWidth="1"/>
    <col min="798" max="798" width="9.70909090909091" style="15" customWidth="1"/>
    <col min="799" max="799" width="8.42727272727273" style="15" customWidth="1"/>
    <col min="800" max="1012" width="8.70909090909091" style="15"/>
    <col min="1013" max="1013" width="5.57272727272727" style="15" customWidth="1"/>
    <col min="1014" max="1016" width="9" style="15" hidden="1" customWidth="1"/>
    <col min="1017" max="1017" width="20.1363636363636" style="15" customWidth="1"/>
    <col min="1018" max="1018" width="10.2818181818182" style="15" customWidth="1"/>
    <col min="1019" max="1019" width="8.57272727272727" style="15" customWidth="1"/>
    <col min="1020" max="1020" width="11.2818181818182" style="15" customWidth="1"/>
    <col min="1021" max="1021" width="6.42727272727273" style="15" customWidth="1"/>
    <col min="1022" max="1022" width="5.85454545454545" style="15" customWidth="1"/>
    <col min="1023" max="1023" width="6" style="15" customWidth="1"/>
    <col min="1024" max="1024" width="10.7090909090909" style="15" customWidth="1"/>
    <col min="1025" max="1025" width="12.7090909090909" style="15" customWidth="1"/>
    <col min="1026" max="1026" width="9" style="15" hidden="1" customWidth="1"/>
    <col min="1027" max="1027" width="6.70909090909091" style="15" customWidth="1"/>
    <col min="1028" max="1028" width="8.70909090909091" style="15"/>
    <col min="1029" max="1029" width="8.28181818181818" style="15" customWidth="1"/>
    <col min="1030" max="1031" width="9" style="15" hidden="1" customWidth="1"/>
    <col min="1032" max="1033" width="6.70909090909091" style="15" customWidth="1"/>
    <col min="1034" max="1034" width="6" style="15" customWidth="1"/>
    <col min="1035" max="1035" width="10.7090909090909" style="15" customWidth="1"/>
    <col min="1036" max="1036" width="12.7090909090909" style="15" customWidth="1"/>
    <col min="1037" max="1038" width="9" style="15" hidden="1" customWidth="1"/>
    <col min="1039" max="1039" width="6.70909090909091" style="15" customWidth="1"/>
    <col min="1040" max="1040" width="4.42727272727273" style="15" customWidth="1"/>
    <col min="1041" max="1041" width="6.13636363636364" style="15" customWidth="1"/>
    <col min="1042" max="1042" width="5.57272727272727" style="15" customWidth="1"/>
    <col min="1043" max="1043" width="8" style="15" customWidth="1"/>
    <col min="1044" max="1044" width="10.7090909090909" style="15" customWidth="1"/>
    <col min="1045" max="1045" width="8.70909090909091" style="15" customWidth="1"/>
    <col min="1046" max="1046" width="10.1363636363636" style="15" customWidth="1"/>
    <col min="1047" max="1047" width="7.42727272727273" style="15" customWidth="1"/>
    <col min="1048" max="1048" width="8.42727272727273" style="15" customWidth="1"/>
    <col min="1049" max="1049" width="8.13636363636364" style="15" customWidth="1"/>
    <col min="1050" max="1050" width="9.42727272727273" style="15" customWidth="1"/>
    <col min="1051" max="1051" width="12" style="15" customWidth="1"/>
    <col min="1052" max="1052" width="8.70909090909091" style="15"/>
    <col min="1053" max="1053" width="9.85454545454546" style="15" customWidth="1"/>
    <col min="1054" max="1054" width="9.70909090909091" style="15" customWidth="1"/>
    <col min="1055" max="1055" width="8.42727272727273" style="15" customWidth="1"/>
    <col min="1056" max="1268" width="8.70909090909091" style="15"/>
    <col min="1269" max="1269" width="5.57272727272727" style="15" customWidth="1"/>
    <col min="1270" max="1272" width="9" style="15" hidden="1" customWidth="1"/>
    <col min="1273" max="1273" width="20.1363636363636" style="15" customWidth="1"/>
    <col min="1274" max="1274" width="10.2818181818182" style="15" customWidth="1"/>
    <col min="1275" max="1275" width="8.57272727272727" style="15" customWidth="1"/>
    <col min="1276" max="1276" width="11.2818181818182" style="15" customWidth="1"/>
    <col min="1277" max="1277" width="6.42727272727273" style="15" customWidth="1"/>
    <col min="1278" max="1278" width="5.85454545454545" style="15" customWidth="1"/>
    <col min="1279" max="1279" width="6" style="15" customWidth="1"/>
    <col min="1280" max="1280" width="10.7090909090909" style="15" customWidth="1"/>
    <col min="1281" max="1281" width="12.7090909090909" style="15" customWidth="1"/>
    <col min="1282" max="1282" width="9" style="15" hidden="1" customWidth="1"/>
    <col min="1283" max="1283" width="6.70909090909091" style="15" customWidth="1"/>
    <col min="1284" max="1284" width="8.70909090909091" style="15"/>
    <col min="1285" max="1285" width="8.28181818181818" style="15" customWidth="1"/>
    <col min="1286" max="1287" width="9" style="15" hidden="1" customWidth="1"/>
    <col min="1288" max="1289" width="6.70909090909091" style="15" customWidth="1"/>
    <col min="1290" max="1290" width="6" style="15" customWidth="1"/>
    <col min="1291" max="1291" width="10.7090909090909" style="15" customWidth="1"/>
    <col min="1292" max="1292" width="12.7090909090909" style="15" customWidth="1"/>
    <col min="1293" max="1294" width="9" style="15" hidden="1" customWidth="1"/>
    <col min="1295" max="1295" width="6.70909090909091" style="15" customWidth="1"/>
    <col min="1296" max="1296" width="4.42727272727273" style="15" customWidth="1"/>
    <col min="1297" max="1297" width="6.13636363636364" style="15" customWidth="1"/>
    <col min="1298" max="1298" width="5.57272727272727" style="15" customWidth="1"/>
    <col min="1299" max="1299" width="8" style="15" customWidth="1"/>
    <col min="1300" max="1300" width="10.7090909090909" style="15" customWidth="1"/>
    <col min="1301" max="1301" width="8.70909090909091" style="15" customWidth="1"/>
    <col min="1302" max="1302" width="10.1363636363636" style="15" customWidth="1"/>
    <col min="1303" max="1303" width="7.42727272727273" style="15" customWidth="1"/>
    <col min="1304" max="1304" width="8.42727272727273" style="15" customWidth="1"/>
    <col min="1305" max="1305" width="8.13636363636364" style="15" customWidth="1"/>
    <col min="1306" max="1306" width="9.42727272727273" style="15" customWidth="1"/>
    <col min="1307" max="1307" width="12" style="15" customWidth="1"/>
    <col min="1308" max="1308" width="8.70909090909091" style="15"/>
    <col min="1309" max="1309" width="9.85454545454546" style="15" customWidth="1"/>
    <col min="1310" max="1310" width="9.70909090909091" style="15" customWidth="1"/>
    <col min="1311" max="1311" width="8.42727272727273" style="15" customWidth="1"/>
    <col min="1312" max="1524" width="8.70909090909091" style="15"/>
    <col min="1525" max="1525" width="5.57272727272727" style="15" customWidth="1"/>
    <col min="1526" max="1528" width="9" style="15" hidden="1" customWidth="1"/>
    <col min="1529" max="1529" width="20.1363636363636" style="15" customWidth="1"/>
    <col min="1530" max="1530" width="10.2818181818182" style="15" customWidth="1"/>
    <col min="1531" max="1531" width="8.57272727272727" style="15" customWidth="1"/>
    <col min="1532" max="1532" width="11.2818181818182" style="15" customWidth="1"/>
    <col min="1533" max="1533" width="6.42727272727273" style="15" customWidth="1"/>
    <col min="1534" max="1534" width="5.85454545454545" style="15" customWidth="1"/>
    <col min="1535" max="1535" width="6" style="15" customWidth="1"/>
    <col min="1536" max="1536" width="10.7090909090909" style="15" customWidth="1"/>
    <col min="1537" max="1537" width="12.7090909090909" style="15" customWidth="1"/>
    <col min="1538" max="1538" width="9" style="15" hidden="1" customWidth="1"/>
    <col min="1539" max="1539" width="6.70909090909091" style="15" customWidth="1"/>
    <col min="1540" max="1540" width="8.70909090909091" style="15"/>
    <col min="1541" max="1541" width="8.28181818181818" style="15" customWidth="1"/>
    <col min="1542" max="1543" width="9" style="15" hidden="1" customWidth="1"/>
    <col min="1544" max="1545" width="6.70909090909091" style="15" customWidth="1"/>
    <col min="1546" max="1546" width="6" style="15" customWidth="1"/>
    <col min="1547" max="1547" width="10.7090909090909" style="15" customWidth="1"/>
    <col min="1548" max="1548" width="12.7090909090909" style="15" customWidth="1"/>
    <col min="1549" max="1550" width="9" style="15" hidden="1" customWidth="1"/>
    <col min="1551" max="1551" width="6.70909090909091" style="15" customWidth="1"/>
    <col min="1552" max="1552" width="4.42727272727273" style="15" customWidth="1"/>
    <col min="1553" max="1553" width="6.13636363636364" style="15" customWidth="1"/>
    <col min="1554" max="1554" width="5.57272727272727" style="15" customWidth="1"/>
    <col min="1555" max="1555" width="8" style="15" customWidth="1"/>
    <col min="1556" max="1556" width="10.7090909090909" style="15" customWidth="1"/>
    <col min="1557" max="1557" width="8.70909090909091" style="15" customWidth="1"/>
    <col min="1558" max="1558" width="10.1363636363636" style="15" customWidth="1"/>
    <col min="1559" max="1559" width="7.42727272727273" style="15" customWidth="1"/>
    <col min="1560" max="1560" width="8.42727272727273" style="15" customWidth="1"/>
    <col min="1561" max="1561" width="8.13636363636364" style="15" customWidth="1"/>
    <col min="1562" max="1562" width="9.42727272727273" style="15" customWidth="1"/>
    <col min="1563" max="1563" width="12" style="15" customWidth="1"/>
    <col min="1564" max="1564" width="8.70909090909091" style="15"/>
    <col min="1565" max="1565" width="9.85454545454546" style="15" customWidth="1"/>
    <col min="1566" max="1566" width="9.70909090909091" style="15" customWidth="1"/>
    <col min="1567" max="1567" width="8.42727272727273" style="15" customWidth="1"/>
    <col min="1568" max="1780" width="8.70909090909091" style="15"/>
    <col min="1781" max="1781" width="5.57272727272727" style="15" customWidth="1"/>
    <col min="1782" max="1784" width="9" style="15" hidden="1" customWidth="1"/>
    <col min="1785" max="1785" width="20.1363636363636" style="15" customWidth="1"/>
    <col min="1786" max="1786" width="10.2818181818182" style="15" customWidth="1"/>
    <col min="1787" max="1787" width="8.57272727272727" style="15" customWidth="1"/>
    <col min="1788" max="1788" width="11.2818181818182" style="15" customWidth="1"/>
    <col min="1789" max="1789" width="6.42727272727273" style="15" customWidth="1"/>
    <col min="1790" max="1790" width="5.85454545454545" style="15" customWidth="1"/>
    <col min="1791" max="1791" width="6" style="15" customWidth="1"/>
    <col min="1792" max="1792" width="10.7090909090909" style="15" customWidth="1"/>
    <col min="1793" max="1793" width="12.7090909090909" style="15" customWidth="1"/>
    <col min="1794" max="1794" width="9" style="15" hidden="1" customWidth="1"/>
    <col min="1795" max="1795" width="6.70909090909091" style="15" customWidth="1"/>
    <col min="1796" max="1796" width="8.70909090909091" style="15"/>
    <col min="1797" max="1797" width="8.28181818181818" style="15" customWidth="1"/>
    <col min="1798" max="1799" width="9" style="15" hidden="1" customWidth="1"/>
    <col min="1800" max="1801" width="6.70909090909091" style="15" customWidth="1"/>
    <col min="1802" max="1802" width="6" style="15" customWidth="1"/>
    <col min="1803" max="1803" width="10.7090909090909" style="15" customWidth="1"/>
    <col min="1804" max="1804" width="12.7090909090909" style="15" customWidth="1"/>
    <col min="1805" max="1806" width="9" style="15" hidden="1" customWidth="1"/>
    <col min="1807" max="1807" width="6.70909090909091" style="15" customWidth="1"/>
    <col min="1808" max="1808" width="4.42727272727273" style="15" customWidth="1"/>
    <col min="1809" max="1809" width="6.13636363636364" style="15" customWidth="1"/>
    <col min="1810" max="1810" width="5.57272727272727" style="15" customWidth="1"/>
    <col min="1811" max="1811" width="8" style="15" customWidth="1"/>
    <col min="1812" max="1812" width="10.7090909090909" style="15" customWidth="1"/>
    <col min="1813" max="1813" width="8.70909090909091" style="15" customWidth="1"/>
    <col min="1814" max="1814" width="10.1363636363636" style="15" customWidth="1"/>
    <col min="1815" max="1815" width="7.42727272727273" style="15" customWidth="1"/>
    <col min="1816" max="1816" width="8.42727272727273" style="15" customWidth="1"/>
    <col min="1817" max="1817" width="8.13636363636364" style="15" customWidth="1"/>
    <col min="1818" max="1818" width="9.42727272727273" style="15" customWidth="1"/>
    <col min="1819" max="1819" width="12" style="15" customWidth="1"/>
    <col min="1820" max="1820" width="8.70909090909091" style="15"/>
    <col min="1821" max="1821" width="9.85454545454546" style="15" customWidth="1"/>
    <col min="1822" max="1822" width="9.70909090909091" style="15" customWidth="1"/>
    <col min="1823" max="1823" width="8.42727272727273" style="15" customWidth="1"/>
    <col min="1824" max="2036" width="8.70909090909091" style="15"/>
    <col min="2037" max="2037" width="5.57272727272727" style="15" customWidth="1"/>
    <col min="2038" max="2040" width="9" style="15" hidden="1" customWidth="1"/>
    <col min="2041" max="2041" width="20.1363636363636" style="15" customWidth="1"/>
    <col min="2042" max="2042" width="10.2818181818182" style="15" customWidth="1"/>
    <col min="2043" max="2043" width="8.57272727272727" style="15" customWidth="1"/>
    <col min="2044" max="2044" width="11.2818181818182" style="15" customWidth="1"/>
    <col min="2045" max="2045" width="6.42727272727273" style="15" customWidth="1"/>
    <col min="2046" max="2046" width="5.85454545454545" style="15" customWidth="1"/>
    <col min="2047" max="2047" width="6" style="15" customWidth="1"/>
    <col min="2048" max="2048" width="10.7090909090909" style="15" customWidth="1"/>
    <col min="2049" max="2049" width="12.7090909090909" style="15" customWidth="1"/>
    <col min="2050" max="2050" width="9" style="15" hidden="1" customWidth="1"/>
    <col min="2051" max="2051" width="6.70909090909091" style="15" customWidth="1"/>
    <col min="2052" max="2052" width="8.70909090909091" style="15"/>
    <col min="2053" max="2053" width="8.28181818181818" style="15" customWidth="1"/>
    <col min="2054" max="2055" width="9" style="15" hidden="1" customWidth="1"/>
    <col min="2056" max="2057" width="6.70909090909091" style="15" customWidth="1"/>
    <col min="2058" max="2058" width="6" style="15" customWidth="1"/>
    <col min="2059" max="2059" width="10.7090909090909" style="15" customWidth="1"/>
    <col min="2060" max="2060" width="12.7090909090909" style="15" customWidth="1"/>
    <col min="2061" max="2062" width="9" style="15" hidden="1" customWidth="1"/>
    <col min="2063" max="2063" width="6.70909090909091" style="15" customWidth="1"/>
    <col min="2064" max="2064" width="4.42727272727273" style="15" customWidth="1"/>
    <col min="2065" max="2065" width="6.13636363636364" style="15" customWidth="1"/>
    <col min="2066" max="2066" width="5.57272727272727" style="15" customWidth="1"/>
    <col min="2067" max="2067" width="8" style="15" customWidth="1"/>
    <col min="2068" max="2068" width="10.7090909090909" style="15" customWidth="1"/>
    <col min="2069" max="2069" width="8.70909090909091" style="15" customWidth="1"/>
    <col min="2070" max="2070" width="10.1363636363636" style="15" customWidth="1"/>
    <col min="2071" max="2071" width="7.42727272727273" style="15" customWidth="1"/>
    <col min="2072" max="2072" width="8.42727272727273" style="15" customWidth="1"/>
    <col min="2073" max="2073" width="8.13636363636364" style="15" customWidth="1"/>
    <col min="2074" max="2074" width="9.42727272727273" style="15" customWidth="1"/>
    <col min="2075" max="2075" width="12" style="15" customWidth="1"/>
    <col min="2076" max="2076" width="8.70909090909091" style="15"/>
    <col min="2077" max="2077" width="9.85454545454546" style="15" customWidth="1"/>
    <col min="2078" max="2078" width="9.70909090909091" style="15" customWidth="1"/>
    <col min="2079" max="2079" width="8.42727272727273" style="15" customWidth="1"/>
    <col min="2080" max="2292" width="8.70909090909091" style="15"/>
    <col min="2293" max="2293" width="5.57272727272727" style="15" customWidth="1"/>
    <col min="2294" max="2296" width="9" style="15" hidden="1" customWidth="1"/>
    <col min="2297" max="2297" width="20.1363636363636" style="15" customWidth="1"/>
    <col min="2298" max="2298" width="10.2818181818182" style="15" customWidth="1"/>
    <col min="2299" max="2299" width="8.57272727272727" style="15" customWidth="1"/>
    <col min="2300" max="2300" width="11.2818181818182" style="15" customWidth="1"/>
    <col min="2301" max="2301" width="6.42727272727273" style="15" customWidth="1"/>
    <col min="2302" max="2302" width="5.85454545454545" style="15" customWidth="1"/>
    <col min="2303" max="2303" width="6" style="15" customWidth="1"/>
    <col min="2304" max="2304" width="10.7090909090909" style="15" customWidth="1"/>
    <col min="2305" max="2305" width="12.7090909090909" style="15" customWidth="1"/>
    <col min="2306" max="2306" width="9" style="15" hidden="1" customWidth="1"/>
    <col min="2307" max="2307" width="6.70909090909091" style="15" customWidth="1"/>
    <col min="2308" max="2308" width="8.70909090909091" style="15"/>
    <col min="2309" max="2309" width="8.28181818181818" style="15" customWidth="1"/>
    <col min="2310" max="2311" width="9" style="15" hidden="1" customWidth="1"/>
    <col min="2312" max="2313" width="6.70909090909091" style="15" customWidth="1"/>
    <col min="2314" max="2314" width="6" style="15" customWidth="1"/>
    <col min="2315" max="2315" width="10.7090909090909" style="15" customWidth="1"/>
    <col min="2316" max="2316" width="12.7090909090909" style="15" customWidth="1"/>
    <col min="2317" max="2318" width="9" style="15" hidden="1" customWidth="1"/>
    <col min="2319" max="2319" width="6.70909090909091" style="15" customWidth="1"/>
    <col min="2320" max="2320" width="4.42727272727273" style="15" customWidth="1"/>
    <col min="2321" max="2321" width="6.13636363636364" style="15" customWidth="1"/>
    <col min="2322" max="2322" width="5.57272727272727" style="15" customWidth="1"/>
    <col min="2323" max="2323" width="8" style="15" customWidth="1"/>
    <col min="2324" max="2324" width="10.7090909090909" style="15" customWidth="1"/>
    <col min="2325" max="2325" width="8.70909090909091" style="15" customWidth="1"/>
    <col min="2326" max="2326" width="10.1363636363636" style="15" customWidth="1"/>
    <col min="2327" max="2327" width="7.42727272727273" style="15" customWidth="1"/>
    <col min="2328" max="2328" width="8.42727272727273" style="15" customWidth="1"/>
    <col min="2329" max="2329" width="8.13636363636364" style="15" customWidth="1"/>
    <col min="2330" max="2330" width="9.42727272727273" style="15" customWidth="1"/>
    <col min="2331" max="2331" width="12" style="15" customWidth="1"/>
    <col min="2332" max="2332" width="8.70909090909091" style="15"/>
    <col min="2333" max="2333" width="9.85454545454546" style="15" customWidth="1"/>
    <col min="2334" max="2334" width="9.70909090909091" style="15" customWidth="1"/>
    <col min="2335" max="2335" width="8.42727272727273" style="15" customWidth="1"/>
    <col min="2336" max="2548" width="8.70909090909091" style="15"/>
    <col min="2549" max="2549" width="5.57272727272727" style="15" customWidth="1"/>
    <col min="2550" max="2552" width="9" style="15" hidden="1" customWidth="1"/>
    <col min="2553" max="2553" width="20.1363636363636" style="15" customWidth="1"/>
    <col min="2554" max="2554" width="10.2818181818182" style="15" customWidth="1"/>
    <col min="2555" max="2555" width="8.57272727272727" style="15" customWidth="1"/>
    <col min="2556" max="2556" width="11.2818181818182" style="15" customWidth="1"/>
    <col min="2557" max="2557" width="6.42727272727273" style="15" customWidth="1"/>
    <col min="2558" max="2558" width="5.85454545454545" style="15" customWidth="1"/>
    <col min="2559" max="2559" width="6" style="15" customWidth="1"/>
    <col min="2560" max="2560" width="10.7090909090909" style="15" customWidth="1"/>
    <col min="2561" max="2561" width="12.7090909090909" style="15" customWidth="1"/>
    <col min="2562" max="2562" width="9" style="15" hidden="1" customWidth="1"/>
    <col min="2563" max="2563" width="6.70909090909091" style="15" customWidth="1"/>
    <col min="2564" max="2564" width="8.70909090909091" style="15"/>
    <col min="2565" max="2565" width="8.28181818181818" style="15" customWidth="1"/>
    <col min="2566" max="2567" width="9" style="15" hidden="1" customWidth="1"/>
    <col min="2568" max="2569" width="6.70909090909091" style="15" customWidth="1"/>
    <col min="2570" max="2570" width="6" style="15" customWidth="1"/>
    <col min="2571" max="2571" width="10.7090909090909" style="15" customWidth="1"/>
    <col min="2572" max="2572" width="12.7090909090909" style="15" customWidth="1"/>
    <col min="2573" max="2574" width="9" style="15" hidden="1" customWidth="1"/>
    <col min="2575" max="2575" width="6.70909090909091" style="15" customWidth="1"/>
    <col min="2576" max="2576" width="4.42727272727273" style="15" customWidth="1"/>
    <col min="2577" max="2577" width="6.13636363636364" style="15" customWidth="1"/>
    <col min="2578" max="2578" width="5.57272727272727" style="15" customWidth="1"/>
    <col min="2579" max="2579" width="8" style="15" customWidth="1"/>
    <col min="2580" max="2580" width="10.7090909090909" style="15" customWidth="1"/>
    <col min="2581" max="2581" width="8.70909090909091" style="15" customWidth="1"/>
    <col min="2582" max="2582" width="10.1363636363636" style="15" customWidth="1"/>
    <col min="2583" max="2583" width="7.42727272727273" style="15" customWidth="1"/>
    <col min="2584" max="2584" width="8.42727272727273" style="15" customWidth="1"/>
    <col min="2585" max="2585" width="8.13636363636364" style="15" customWidth="1"/>
    <col min="2586" max="2586" width="9.42727272727273" style="15" customWidth="1"/>
    <col min="2587" max="2587" width="12" style="15" customWidth="1"/>
    <col min="2588" max="2588" width="8.70909090909091" style="15"/>
    <col min="2589" max="2589" width="9.85454545454546" style="15" customWidth="1"/>
    <col min="2590" max="2590" width="9.70909090909091" style="15" customWidth="1"/>
    <col min="2591" max="2591" width="8.42727272727273" style="15" customWidth="1"/>
    <col min="2592" max="2804" width="8.70909090909091" style="15"/>
    <col min="2805" max="2805" width="5.57272727272727" style="15" customWidth="1"/>
    <col min="2806" max="2808" width="9" style="15" hidden="1" customWidth="1"/>
    <col min="2809" max="2809" width="20.1363636363636" style="15" customWidth="1"/>
    <col min="2810" max="2810" width="10.2818181818182" style="15" customWidth="1"/>
    <col min="2811" max="2811" width="8.57272727272727" style="15" customWidth="1"/>
    <col min="2812" max="2812" width="11.2818181818182" style="15" customWidth="1"/>
    <col min="2813" max="2813" width="6.42727272727273" style="15" customWidth="1"/>
    <col min="2814" max="2814" width="5.85454545454545" style="15" customWidth="1"/>
    <col min="2815" max="2815" width="6" style="15" customWidth="1"/>
    <col min="2816" max="2816" width="10.7090909090909" style="15" customWidth="1"/>
    <col min="2817" max="2817" width="12.7090909090909" style="15" customWidth="1"/>
    <col min="2818" max="2818" width="9" style="15" hidden="1" customWidth="1"/>
    <col min="2819" max="2819" width="6.70909090909091" style="15" customWidth="1"/>
    <col min="2820" max="2820" width="8.70909090909091" style="15"/>
    <col min="2821" max="2821" width="8.28181818181818" style="15" customWidth="1"/>
    <col min="2822" max="2823" width="9" style="15" hidden="1" customWidth="1"/>
    <col min="2824" max="2825" width="6.70909090909091" style="15" customWidth="1"/>
    <col min="2826" max="2826" width="6" style="15" customWidth="1"/>
    <col min="2827" max="2827" width="10.7090909090909" style="15" customWidth="1"/>
    <col min="2828" max="2828" width="12.7090909090909" style="15" customWidth="1"/>
    <col min="2829" max="2830" width="9" style="15" hidden="1" customWidth="1"/>
    <col min="2831" max="2831" width="6.70909090909091" style="15" customWidth="1"/>
    <col min="2832" max="2832" width="4.42727272727273" style="15" customWidth="1"/>
    <col min="2833" max="2833" width="6.13636363636364" style="15" customWidth="1"/>
    <col min="2834" max="2834" width="5.57272727272727" style="15" customWidth="1"/>
    <col min="2835" max="2835" width="8" style="15" customWidth="1"/>
    <col min="2836" max="2836" width="10.7090909090909" style="15" customWidth="1"/>
    <col min="2837" max="2837" width="8.70909090909091" style="15" customWidth="1"/>
    <col min="2838" max="2838" width="10.1363636363636" style="15" customWidth="1"/>
    <col min="2839" max="2839" width="7.42727272727273" style="15" customWidth="1"/>
    <col min="2840" max="2840" width="8.42727272727273" style="15" customWidth="1"/>
    <col min="2841" max="2841" width="8.13636363636364" style="15" customWidth="1"/>
    <col min="2842" max="2842" width="9.42727272727273" style="15" customWidth="1"/>
    <col min="2843" max="2843" width="12" style="15" customWidth="1"/>
    <col min="2844" max="2844" width="8.70909090909091" style="15"/>
    <col min="2845" max="2845" width="9.85454545454546" style="15" customWidth="1"/>
    <col min="2846" max="2846" width="9.70909090909091" style="15" customWidth="1"/>
    <col min="2847" max="2847" width="8.42727272727273" style="15" customWidth="1"/>
    <col min="2848" max="3060" width="8.70909090909091" style="15"/>
    <col min="3061" max="3061" width="5.57272727272727" style="15" customWidth="1"/>
    <col min="3062" max="3064" width="9" style="15" hidden="1" customWidth="1"/>
    <col min="3065" max="3065" width="20.1363636363636" style="15" customWidth="1"/>
    <col min="3066" max="3066" width="10.2818181818182" style="15" customWidth="1"/>
    <col min="3067" max="3067" width="8.57272727272727" style="15" customWidth="1"/>
    <col min="3068" max="3068" width="11.2818181818182" style="15" customWidth="1"/>
    <col min="3069" max="3069" width="6.42727272727273" style="15" customWidth="1"/>
    <col min="3070" max="3070" width="5.85454545454545" style="15" customWidth="1"/>
    <col min="3071" max="3071" width="6" style="15" customWidth="1"/>
    <col min="3072" max="3072" width="10.7090909090909" style="15" customWidth="1"/>
    <col min="3073" max="3073" width="12.7090909090909" style="15" customWidth="1"/>
    <col min="3074" max="3074" width="9" style="15" hidden="1" customWidth="1"/>
    <col min="3075" max="3075" width="6.70909090909091" style="15" customWidth="1"/>
    <col min="3076" max="3076" width="8.70909090909091" style="15"/>
    <col min="3077" max="3077" width="8.28181818181818" style="15" customWidth="1"/>
    <col min="3078" max="3079" width="9" style="15" hidden="1" customWidth="1"/>
    <col min="3080" max="3081" width="6.70909090909091" style="15" customWidth="1"/>
    <col min="3082" max="3082" width="6" style="15" customWidth="1"/>
    <col min="3083" max="3083" width="10.7090909090909" style="15" customWidth="1"/>
    <col min="3084" max="3084" width="12.7090909090909" style="15" customWidth="1"/>
    <col min="3085" max="3086" width="9" style="15" hidden="1" customWidth="1"/>
    <col min="3087" max="3087" width="6.70909090909091" style="15" customWidth="1"/>
    <col min="3088" max="3088" width="4.42727272727273" style="15" customWidth="1"/>
    <col min="3089" max="3089" width="6.13636363636364" style="15" customWidth="1"/>
    <col min="3090" max="3090" width="5.57272727272727" style="15" customWidth="1"/>
    <col min="3091" max="3091" width="8" style="15" customWidth="1"/>
    <col min="3092" max="3092" width="10.7090909090909" style="15" customWidth="1"/>
    <col min="3093" max="3093" width="8.70909090909091" style="15" customWidth="1"/>
    <col min="3094" max="3094" width="10.1363636363636" style="15" customWidth="1"/>
    <col min="3095" max="3095" width="7.42727272727273" style="15" customWidth="1"/>
    <col min="3096" max="3096" width="8.42727272727273" style="15" customWidth="1"/>
    <col min="3097" max="3097" width="8.13636363636364" style="15" customWidth="1"/>
    <col min="3098" max="3098" width="9.42727272727273" style="15" customWidth="1"/>
    <col min="3099" max="3099" width="12" style="15" customWidth="1"/>
    <col min="3100" max="3100" width="8.70909090909091" style="15"/>
    <col min="3101" max="3101" width="9.85454545454546" style="15" customWidth="1"/>
    <col min="3102" max="3102" width="9.70909090909091" style="15" customWidth="1"/>
    <col min="3103" max="3103" width="8.42727272727273" style="15" customWidth="1"/>
    <col min="3104" max="3316" width="8.70909090909091" style="15"/>
    <col min="3317" max="3317" width="5.57272727272727" style="15" customWidth="1"/>
    <col min="3318" max="3320" width="9" style="15" hidden="1" customWidth="1"/>
    <col min="3321" max="3321" width="20.1363636363636" style="15" customWidth="1"/>
    <col min="3322" max="3322" width="10.2818181818182" style="15" customWidth="1"/>
    <col min="3323" max="3323" width="8.57272727272727" style="15" customWidth="1"/>
    <col min="3324" max="3324" width="11.2818181818182" style="15" customWidth="1"/>
    <col min="3325" max="3325" width="6.42727272727273" style="15" customWidth="1"/>
    <col min="3326" max="3326" width="5.85454545454545" style="15" customWidth="1"/>
    <col min="3327" max="3327" width="6" style="15" customWidth="1"/>
    <col min="3328" max="3328" width="10.7090909090909" style="15" customWidth="1"/>
    <col min="3329" max="3329" width="12.7090909090909" style="15" customWidth="1"/>
    <col min="3330" max="3330" width="9" style="15" hidden="1" customWidth="1"/>
    <col min="3331" max="3331" width="6.70909090909091" style="15" customWidth="1"/>
    <col min="3332" max="3332" width="8.70909090909091" style="15"/>
    <col min="3333" max="3333" width="8.28181818181818" style="15" customWidth="1"/>
    <col min="3334" max="3335" width="9" style="15" hidden="1" customWidth="1"/>
    <col min="3336" max="3337" width="6.70909090909091" style="15" customWidth="1"/>
    <col min="3338" max="3338" width="6" style="15" customWidth="1"/>
    <col min="3339" max="3339" width="10.7090909090909" style="15" customWidth="1"/>
    <col min="3340" max="3340" width="12.7090909090909" style="15" customWidth="1"/>
    <col min="3341" max="3342" width="9" style="15" hidden="1" customWidth="1"/>
    <col min="3343" max="3343" width="6.70909090909091" style="15" customWidth="1"/>
    <col min="3344" max="3344" width="4.42727272727273" style="15" customWidth="1"/>
    <col min="3345" max="3345" width="6.13636363636364" style="15" customWidth="1"/>
    <col min="3346" max="3346" width="5.57272727272727" style="15" customWidth="1"/>
    <col min="3347" max="3347" width="8" style="15" customWidth="1"/>
    <col min="3348" max="3348" width="10.7090909090909" style="15" customWidth="1"/>
    <col min="3349" max="3349" width="8.70909090909091" style="15" customWidth="1"/>
    <col min="3350" max="3350" width="10.1363636363636" style="15" customWidth="1"/>
    <col min="3351" max="3351" width="7.42727272727273" style="15" customWidth="1"/>
    <col min="3352" max="3352" width="8.42727272727273" style="15" customWidth="1"/>
    <col min="3353" max="3353" width="8.13636363636364" style="15" customWidth="1"/>
    <col min="3354" max="3354" width="9.42727272727273" style="15" customWidth="1"/>
    <col min="3355" max="3355" width="12" style="15" customWidth="1"/>
    <col min="3356" max="3356" width="8.70909090909091" style="15"/>
    <col min="3357" max="3357" width="9.85454545454546" style="15" customWidth="1"/>
    <col min="3358" max="3358" width="9.70909090909091" style="15" customWidth="1"/>
    <col min="3359" max="3359" width="8.42727272727273" style="15" customWidth="1"/>
    <col min="3360" max="3572" width="8.70909090909091" style="15"/>
    <col min="3573" max="3573" width="5.57272727272727" style="15" customWidth="1"/>
    <col min="3574" max="3576" width="9" style="15" hidden="1" customWidth="1"/>
    <col min="3577" max="3577" width="20.1363636363636" style="15" customWidth="1"/>
    <col min="3578" max="3578" width="10.2818181818182" style="15" customWidth="1"/>
    <col min="3579" max="3579" width="8.57272727272727" style="15" customWidth="1"/>
    <col min="3580" max="3580" width="11.2818181818182" style="15" customWidth="1"/>
    <col min="3581" max="3581" width="6.42727272727273" style="15" customWidth="1"/>
    <col min="3582" max="3582" width="5.85454545454545" style="15" customWidth="1"/>
    <col min="3583" max="3583" width="6" style="15" customWidth="1"/>
    <col min="3584" max="3584" width="10.7090909090909" style="15" customWidth="1"/>
    <col min="3585" max="3585" width="12.7090909090909" style="15" customWidth="1"/>
    <col min="3586" max="3586" width="9" style="15" hidden="1" customWidth="1"/>
    <col min="3587" max="3587" width="6.70909090909091" style="15" customWidth="1"/>
    <col min="3588" max="3588" width="8.70909090909091" style="15"/>
    <col min="3589" max="3589" width="8.28181818181818" style="15" customWidth="1"/>
    <col min="3590" max="3591" width="9" style="15" hidden="1" customWidth="1"/>
    <col min="3592" max="3593" width="6.70909090909091" style="15" customWidth="1"/>
    <col min="3594" max="3594" width="6" style="15" customWidth="1"/>
    <col min="3595" max="3595" width="10.7090909090909" style="15" customWidth="1"/>
    <col min="3596" max="3596" width="12.7090909090909" style="15" customWidth="1"/>
    <col min="3597" max="3598" width="9" style="15" hidden="1" customWidth="1"/>
    <col min="3599" max="3599" width="6.70909090909091" style="15" customWidth="1"/>
    <col min="3600" max="3600" width="4.42727272727273" style="15" customWidth="1"/>
    <col min="3601" max="3601" width="6.13636363636364" style="15" customWidth="1"/>
    <col min="3602" max="3602" width="5.57272727272727" style="15" customWidth="1"/>
    <col min="3603" max="3603" width="8" style="15" customWidth="1"/>
    <col min="3604" max="3604" width="10.7090909090909" style="15" customWidth="1"/>
    <col min="3605" max="3605" width="8.70909090909091" style="15" customWidth="1"/>
    <col min="3606" max="3606" width="10.1363636363636" style="15" customWidth="1"/>
    <col min="3607" max="3607" width="7.42727272727273" style="15" customWidth="1"/>
    <col min="3608" max="3608" width="8.42727272727273" style="15" customWidth="1"/>
    <col min="3609" max="3609" width="8.13636363636364" style="15" customWidth="1"/>
    <col min="3610" max="3610" width="9.42727272727273" style="15" customWidth="1"/>
    <col min="3611" max="3611" width="12" style="15" customWidth="1"/>
    <col min="3612" max="3612" width="8.70909090909091" style="15"/>
    <col min="3613" max="3613" width="9.85454545454546" style="15" customWidth="1"/>
    <col min="3614" max="3614" width="9.70909090909091" style="15" customWidth="1"/>
    <col min="3615" max="3615" width="8.42727272727273" style="15" customWidth="1"/>
    <col min="3616" max="3828" width="8.70909090909091" style="15"/>
    <col min="3829" max="3829" width="5.57272727272727" style="15" customWidth="1"/>
    <col min="3830" max="3832" width="9" style="15" hidden="1" customWidth="1"/>
    <col min="3833" max="3833" width="20.1363636363636" style="15" customWidth="1"/>
    <col min="3834" max="3834" width="10.2818181818182" style="15" customWidth="1"/>
    <col min="3835" max="3835" width="8.57272727272727" style="15" customWidth="1"/>
    <col min="3836" max="3836" width="11.2818181818182" style="15" customWidth="1"/>
    <col min="3837" max="3837" width="6.42727272727273" style="15" customWidth="1"/>
    <col min="3838" max="3838" width="5.85454545454545" style="15" customWidth="1"/>
    <col min="3839" max="3839" width="6" style="15" customWidth="1"/>
    <col min="3840" max="3840" width="10.7090909090909" style="15" customWidth="1"/>
    <col min="3841" max="3841" width="12.7090909090909" style="15" customWidth="1"/>
    <col min="3842" max="3842" width="9" style="15" hidden="1" customWidth="1"/>
    <col min="3843" max="3843" width="6.70909090909091" style="15" customWidth="1"/>
    <col min="3844" max="3844" width="8.70909090909091" style="15"/>
    <col min="3845" max="3845" width="8.28181818181818" style="15" customWidth="1"/>
    <col min="3846" max="3847" width="9" style="15" hidden="1" customWidth="1"/>
    <col min="3848" max="3849" width="6.70909090909091" style="15" customWidth="1"/>
    <col min="3850" max="3850" width="6" style="15" customWidth="1"/>
    <col min="3851" max="3851" width="10.7090909090909" style="15" customWidth="1"/>
    <col min="3852" max="3852" width="12.7090909090909" style="15" customWidth="1"/>
    <col min="3853" max="3854" width="9" style="15" hidden="1" customWidth="1"/>
    <col min="3855" max="3855" width="6.70909090909091" style="15" customWidth="1"/>
    <col min="3856" max="3856" width="4.42727272727273" style="15" customWidth="1"/>
    <col min="3857" max="3857" width="6.13636363636364" style="15" customWidth="1"/>
    <col min="3858" max="3858" width="5.57272727272727" style="15" customWidth="1"/>
    <col min="3859" max="3859" width="8" style="15" customWidth="1"/>
    <col min="3860" max="3860" width="10.7090909090909" style="15" customWidth="1"/>
    <col min="3861" max="3861" width="8.70909090909091" style="15" customWidth="1"/>
    <col min="3862" max="3862" width="10.1363636363636" style="15" customWidth="1"/>
    <col min="3863" max="3863" width="7.42727272727273" style="15" customWidth="1"/>
    <col min="3864" max="3864" width="8.42727272727273" style="15" customWidth="1"/>
    <col min="3865" max="3865" width="8.13636363636364" style="15" customWidth="1"/>
    <col min="3866" max="3866" width="9.42727272727273" style="15" customWidth="1"/>
    <col min="3867" max="3867" width="12" style="15" customWidth="1"/>
    <col min="3868" max="3868" width="8.70909090909091" style="15"/>
    <col min="3869" max="3869" width="9.85454545454546" style="15" customWidth="1"/>
    <col min="3870" max="3870" width="9.70909090909091" style="15" customWidth="1"/>
    <col min="3871" max="3871" width="8.42727272727273" style="15" customWidth="1"/>
    <col min="3872" max="4084" width="8.70909090909091" style="15"/>
    <col min="4085" max="4085" width="5.57272727272727" style="15" customWidth="1"/>
    <col min="4086" max="4088" width="9" style="15" hidden="1" customWidth="1"/>
    <col min="4089" max="4089" width="20.1363636363636" style="15" customWidth="1"/>
    <col min="4090" max="4090" width="10.2818181818182" style="15" customWidth="1"/>
    <col min="4091" max="4091" width="8.57272727272727" style="15" customWidth="1"/>
    <col min="4092" max="4092" width="11.2818181818182" style="15" customWidth="1"/>
    <col min="4093" max="4093" width="6.42727272727273" style="15" customWidth="1"/>
    <col min="4094" max="4094" width="5.85454545454545" style="15" customWidth="1"/>
    <col min="4095" max="4095" width="6" style="15" customWidth="1"/>
    <col min="4096" max="4096" width="10.7090909090909" style="15" customWidth="1"/>
    <col min="4097" max="4097" width="12.7090909090909" style="15" customWidth="1"/>
    <col min="4098" max="4098" width="9" style="15" hidden="1" customWidth="1"/>
    <col min="4099" max="4099" width="6.70909090909091" style="15" customWidth="1"/>
    <col min="4100" max="4100" width="8.70909090909091" style="15"/>
    <col min="4101" max="4101" width="8.28181818181818" style="15" customWidth="1"/>
    <col min="4102" max="4103" width="9" style="15" hidden="1" customWidth="1"/>
    <col min="4104" max="4105" width="6.70909090909091" style="15" customWidth="1"/>
    <col min="4106" max="4106" width="6" style="15" customWidth="1"/>
    <col min="4107" max="4107" width="10.7090909090909" style="15" customWidth="1"/>
    <col min="4108" max="4108" width="12.7090909090909" style="15" customWidth="1"/>
    <col min="4109" max="4110" width="9" style="15" hidden="1" customWidth="1"/>
    <col min="4111" max="4111" width="6.70909090909091" style="15" customWidth="1"/>
    <col min="4112" max="4112" width="4.42727272727273" style="15" customWidth="1"/>
    <col min="4113" max="4113" width="6.13636363636364" style="15" customWidth="1"/>
    <col min="4114" max="4114" width="5.57272727272727" style="15" customWidth="1"/>
    <col min="4115" max="4115" width="8" style="15" customWidth="1"/>
    <col min="4116" max="4116" width="10.7090909090909" style="15" customWidth="1"/>
    <col min="4117" max="4117" width="8.70909090909091" style="15" customWidth="1"/>
    <col min="4118" max="4118" width="10.1363636363636" style="15" customWidth="1"/>
    <col min="4119" max="4119" width="7.42727272727273" style="15" customWidth="1"/>
    <col min="4120" max="4120" width="8.42727272727273" style="15" customWidth="1"/>
    <col min="4121" max="4121" width="8.13636363636364" style="15" customWidth="1"/>
    <col min="4122" max="4122" width="9.42727272727273" style="15" customWidth="1"/>
    <col min="4123" max="4123" width="12" style="15" customWidth="1"/>
    <col min="4124" max="4124" width="8.70909090909091" style="15"/>
    <col min="4125" max="4125" width="9.85454545454546" style="15" customWidth="1"/>
    <col min="4126" max="4126" width="9.70909090909091" style="15" customWidth="1"/>
    <col min="4127" max="4127" width="8.42727272727273" style="15" customWidth="1"/>
    <col min="4128" max="4340" width="8.70909090909091" style="15"/>
    <col min="4341" max="4341" width="5.57272727272727" style="15" customWidth="1"/>
    <col min="4342" max="4344" width="9" style="15" hidden="1" customWidth="1"/>
    <col min="4345" max="4345" width="20.1363636363636" style="15" customWidth="1"/>
    <col min="4346" max="4346" width="10.2818181818182" style="15" customWidth="1"/>
    <col min="4347" max="4347" width="8.57272727272727" style="15" customWidth="1"/>
    <col min="4348" max="4348" width="11.2818181818182" style="15" customWidth="1"/>
    <col min="4349" max="4349" width="6.42727272727273" style="15" customWidth="1"/>
    <col min="4350" max="4350" width="5.85454545454545" style="15" customWidth="1"/>
    <col min="4351" max="4351" width="6" style="15" customWidth="1"/>
    <col min="4352" max="4352" width="10.7090909090909" style="15" customWidth="1"/>
    <col min="4353" max="4353" width="12.7090909090909" style="15" customWidth="1"/>
    <col min="4354" max="4354" width="9" style="15" hidden="1" customWidth="1"/>
    <col min="4355" max="4355" width="6.70909090909091" style="15" customWidth="1"/>
    <col min="4356" max="4356" width="8.70909090909091" style="15"/>
    <col min="4357" max="4357" width="8.28181818181818" style="15" customWidth="1"/>
    <col min="4358" max="4359" width="9" style="15" hidden="1" customWidth="1"/>
    <col min="4360" max="4361" width="6.70909090909091" style="15" customWidth="1"/>
    <col min="4362" max="4362" width="6" style="15" customWidth="1"/>
    <col min="4363" max="4363" width="10.7090909090909" style="15" customWidth="1"/>
    <col min="4364" max="4364" width="12.7090909090909" style="15" customWidth="1"/>
    <col min="4365" max="4366" width="9" style="15" hidden="1" customWidth="1"/>
    <col min="4367" max="4367" width="6.70909090909091" style="15" customWidth="1"/>
    <col min="4368" max="4368" width="4.42727272727273" style="15" customWidth="1"/>
    <col min="4369" max="4369" width="6.13636363636364" style="15" customWidth="1"/>
    <col min="4370" max="4370" width="5.57272727272727" style="15" customWidth="1"/>
    <col min="4371" max="4371" width="8" style="15" customWidth="1"/>
    <col min="4372" max="4372" width="10.7090909090909" style="15" customWidth="1"/>
    <col min="4373" max="4373" width="8.70909090909091" style="15" customWidth="1"/>
    <col min="4374" max="4374" width="10.1363636363636" style="15" customWidth="1"/>
    <col min="4375" max="4375" width="7.42727272727273" style="15" customWidth="1"/>
    <col min="4376" max="4376" width="8.42727272727273" style="15" customWidth="1"/>
    <col min="4377" max="4377" width="8.13636363636364" style="15" customWidth="1"/>
    <col min="4378" max="4378" width="9.42727272727273" style="15" customWidth="1"/>
    <col min="4379" max="4379" width="12" style="15" customWidth="1"/>
    <col min="4380" max="4380" width="8.70909090909091" style="15"/>
    <col min="4381" max="4381" width="9.85454545454546" style="15" customWidth="1"/>
    <col min="4382" max="4382" width="9.70909090909091" style="15" customWidth="1"/>
    <col min="4383" max="4383" width="8.42727272727273" style="15" customWidth="1"/>
    <col min="4384" max="4596" width="8.70909090909091" style="15"/>
    <col min="4597" max="4597" width="5.57272727272727" style="15" customWidth="1"/>
    <col min="4598" max="4600" width="9" style="15" hidden="1" customWidth="1"/>
    <col min="4601" max="4601" width="20.1363636363636" style="15" customWidth="1"/>
    <col min="4602" max="4602" width="10.2818181818182" style="15" customWidth="1"/>
    <col min="4603" max="4603" width="8.57272727272727" style="15" customWidth="1"/>
    <col min="4604" max="4604" width="11.2818181818182" style="15" customWidth="1"/>
    <col min="4605" max="4605" width="6.42727272727273" style="15" customWidth="1"/>
    <col min="4606" max="4606" width="5.85454545454545" style="15" customWidth="1"/>
    <col min="4607" max="4607" width="6" style="15" customWidth="1"/>
    <col min="4608" max="4608" width="10.7090909090909" style="15" customWidth="1"/>
    <col min="4609" max="4609" width="12.7090909090909" style="15" customWidth="1"/>
    <col min="4610" max="4610" width="9" style="15" hidden="1" customWidth="1"/>
    <col min="4611" max="4611" width="6.70909090909091" style="15" customWidth="1"/>
    <col min="4612" max="4612" width="8.70909090909091" style="15"/>
    <col min="4613" max="4613" width="8.28181818181818" style="15" customWidth="1"/>
    <col min="4614" max="4615" width="9" style="15" hidden="1" customWidth="1"/>
    <col min="4616" max="4617" width="6.70909090909091" style="15" customWidth="1"/>
    <col min="4618" max="4618" width="6" style="15" customWidth="1"/>
    <col min="4619" max="4619" width="10.7090909090909" style="15" customWidth="1"/>
    <col min="4620" max="4620" width="12.7090909090909" style="15" customWidth="1"/>
    <col min="4621" max="4622" width="9" style="15" hidden="1" customWidth="1"/>
    <col min="4623" max="4623" width="6.70909090909091" style="15" customWidth="1"/>
    <col min="4624" max="4624" width="4.42727272727273" style="15" customWidth="1"/>
    <col min="4625" max="4625" width="6.13636363636364" style="15" customWidth="1"/>
    <col min="4626" max="4626" width="5.57272727272727" style="15" customWidth="1"/>
    <col min="4627" max="4627" width="8" style="15" customWidth="1"/>
    <col min="4628" max="4628" width="10.7090909090909" style="15" customWidth="1"/>
    <col min="4629" max="4629" width="8.70909090909091" style="15" customWidth="1"/>
    <col min="4630" max="4630" width="10.1363636363636" style="15" customWidth="1"/>
    <col min="4631" max="4631" width="7.42727272727273" style="15" customWidth="1"/>
    <col min="4632" max="4632" width="8.42727272727273" style="15" customWidth="1"/>
    <col min="4633" max="4633" width="8.13636363636364" style="15" customWidth="1"/>
    <col min="4634" max="4634" width="9.42727272727273" style="15" customWidth="1"/>
    <col min="4635" max="4635" width="12" style="15" customWidth="1"/>
    <col min="4636" max="4636" width="8.70909090909091" style="15"/>
    <col min="4637" max="4637" width="9.85454545454546" style="15" customWidth="1"/>
    <col min="4638" max="4638" width="9.70909090909091" style="15" customWidth="1"/>
    <col min="4639" max="4639" width="8.42727272727273" style="15" customWidth="1"/>
    <col min="4640" max="4852" width="8.70909090909091" style="15"/>
    <col min="4853" max="4853" width="5.57272727272727" style="15" customWidth="1"/>
    <col min="4854" max="4856" width="9" style="15" hidden="1" customWidth="1"/>
    <col min="4857" max="4857" width="20.1363636363636" style="15" customWidth="1"/>
    <col min="4858" max="4858" width="10.2818181818182" style="15" customWidth="1"/>
    <col min="4859" max="4859" width="8.57272727272727" style="15" customWidth="1"/>
    <col min="4860" max="4860" width="11.2818181818182" style="15" customWidth="1"/>
    <col min="4861" max="4861" width="6.42727272727273" style="15" customWidth="1"/>
    <col min="4862" max="4862" width="5.85454545454545" style="15" customWidth="1"/>
    <col min="4863" max="4863" width="6" style="15" customWidth="1"/>
    <col min="4864" max="4864" width="10.7090909090909" style="15" customWidth="1"/>
    <col min="4865" max="4865" width="12.7090909090909" style="15" customWidth="1"/>
    <col min="4866" max="4866" width="9" style="15" hidden="1" customWidth="1"/>
    <col min="4867" max="4867" width="6.70909090909091" style="15" customWidth="1"/>
    <col min="4868" max="4868" width="8.70909090909091" style="15"/>
    <col min="4869" max="4869" width="8.28181818181818" style="15" customWidth="1"/>
    <col min="4870" max="4871" width="9" style="15" hidden="1" customWidth="1"/>
    <col min="4872" max="4873" width="6.70909090909091" style="15" customWidth="1"/>
    <col min="4874" max="4874" width="6" style="15" customWidth="1"/>
    <col min="4875" max="4875" width="10.7090909090909" style="15" customWidth="1"/>
    <col min="4876" max="4876" width="12.7090909090909" style="15" customWidth="1"/>
    <col min="4877" max="4878" width="9" style="15" hidden="1" customWidth="1"/>
    <col min="4879" max="4879" width="6.70909090909091" style="15" customWidth="1"/>
    <col min="4880" max="4880" width="4.42727272727273" style="15" customWidth="1"/>
    <col min="4881" max="4881" width="6.13636363636364" style="15" customWidth="1"/>
    <col min="4882" max="4882" width="5.57272727272727" style="15" customWidth="1"/>
    <col min="4883" max="4883" width="8" style="15" customWidth="1"/>
    <col min="4884" max="4884" width="10.7090909090909" style="15" customWidth="1"/>
    <col min="4885" max="4885" width="8.70909090909091" style="15" customWidth="1"/>
    <col min="4886" max="4886" width="10.1363636363636" style="15" customWidth="1"/>
    <col min="4887" max="4887" width="7.42727272727273" style="15" customWidth="1"/>
    <col min="4888" max="4888" width="8.42727272727273" style="15" customWidth="1"/>
    <col min="4889" max="4889" width="8.13636363636364" style="15" customWidth="1"/>
    <col min="4890" max="4890" width="9.42727272727273" style="15" customWidth="1"/>
    <col min="4891" max="4891" width="12" style="15" customWidth="1"/>
    <col min="4892" max="4892" width="8.70909090909091" style="15"/>
    <col min="4893" max="4893" width="9.85454545454546" style="15" customWidth="1"/>
    <col min="4894" max="4894" width="9.70909090909091" style="15" customWidth="1"/>
    <col min="4895" max="4895" width="8.42727272727273" style="15" customWidth="1"/>
    <col min="4896" max="5108" width="8.70909090909091" style="15"/>
    <col min="5109" max="5109" width="5.57272727272727" style="15" customWidth="1"/>
    <col min="5110" max="5112" width="9" style="15" hidden="1" customWidth="1"/>
    <col min="5113" max="5113" width="20.1363636363636" style="15" customWidth="1"/>
    <col min="5114" max="5114" width="10.2818181818182" style="15" customWidth="1"/>
    <col min="5115" max="5115" width="8.57272727272727" style="15" customWidth="1"/>
    <col min="5116" max="5116" width="11.2818181818182" style="15" customWidth="1"/>
    <col min="5117" max="5117" width="6.42727272727273" style="15" customWidth="1"/>
    <col min="5118" max="5118" width="5.85454545454545" style="15" customWidth="1"/>
    <col min="5119" max="5119" width="6" style="15" customWidth="1"/>
    <col min="5120" max="5120" width="10.7090909090909" style="15" customWidth="1"/>
    <col min="5121" max="5121" width="12.7090909090909" style="15" customWidth="1"/>
    <col min="5122" max="5122" width="9" style="15" hidden="1" customWidth="1"/>
    <col min="5123" max="5123" width="6.70909090909091" style="15" customWidth="1"/>
    <col min="5124" max="5124" width="8.70909090909091" style="15"/>
    <col min="5125" max="5125" width="8.28181818181818" style="15" customWidth="1"/>
    <col min="5126" max="5127" width="9" style="15" hidden="1" customWidth="1"/>
    <col min="5128" max="5129" width="6.70909090909091" style="15" customWidth="1"/>
    <col min="5130" max="5130" width="6" style="15" customWidth="1"/>
    <col min="5131" max="5131" width="10.7090909090909" style="15" customWidth="1"/>
    <col min="5132" max="5132" width="12.7090909090909" style="15" customWidth="1"/>
    <col min="5133" max="5134" width="9" style="15" hidden="1" customWidth="1"/>
    <col min="5135" max="5135" width="6.70909090909091" style="15" customWidth="1"/>
    <col min="5136" max="5136" width="4.42727272727273" style="15" customWidth="1"/>
    <col min="5137" max="5137" width="6.13636363636364" style="15" customWidth="1"/>
    <col min="5138" max="5138" width="5.57272727272727" style="15" customWidth="1"/>
    <col min="5139" max="5139" width="8" style="15" customWidth="1"/>
    <col min="5140" max="5140" width="10.7090909090909" style="15" customWidth="1"/>
    <col min="5141" max="5141" width="8.70909090909091" style="15" customWidth="1"/>
    <col min="5142" max="5142" width="10.1363636363636" style="15" customWidth="1"/>
    <col min="5143" max="5143" width="7.42727272727273" style="15" customWidth="1"/>
    <col min="5144" max="5144" width="8.42727272727273" style="15" customWidth="1"/>
    <col min="5145" max="5145" width="8.13636363636364" style="15" customWidth="1"/>
    <col min="5146" max="5146" width="9.42727272727273" style="15" customWidth="1"/>
    <col min="5147" max="5147" width="12" style="15" customWidth="1"/>
    <col min="5148" max="5148" width="8.70909090909091" style="15"/>
    <col min="5149" max="5149" width="9.85454545454546" style="15" customWidth="1"/>
    <col min="5150" max="5150" width="9.70909090909091" style="15" customWidth="1"/>
    <col min="5151" max="5151" width="8.42727272727273" style="15" customWidth="1"/>
    <col min="5152" max="5364" width="8.70909090909091" style="15"/>
    <col min="5365" max="5365" width="5.57272727272727" style="15" customWidth="1"/>
    <col min="5366" max="5368" width="9" style="15" hidden="1" customWidth="1"/>
    <col min="5369" max="5369" width="20.1363636363636" style="15" customWidth="1"/>
    <col min="5370" max="5370" width="10.2818181818182" style="15" customWidth="1"/>
    <col min="5371" max="5371" width="8.57272727272727" style="15" customWidth="1"/>
    <col min="5372" max="5372" width="11.2818181818182" style="15" customWidth="1"/>
    <col min="5373" max="5373" width="6.42727272727273" style="15" customWidth="1"/>
    <col min="5374" max="5374" width="5.85454545454545" style="15" customWidth="1"/>
    <col min="5375" max="5375" width="6" style="15" customWidth="1"/>
    <col min="5376" max="5376" width="10.7090909090909" style="15" customWidth="1"/>
    <col min="5377" max="5377" width="12.7090909090909" style="15" customWidth="1"/>
    <col min="5378" max="5378" width="9" style="15" hidden="1" customWidth="1"/>
    <col min="5379" max="5379" width="6.70909090909091" style="15" customWidth="1"/>
    <col min="5380" max="5380" width="8.70909090909091" style="15"/>
    <col min="5381" max="5381" width="8.28181818181818" style="15" customWidth="1"/>
    <col min="5382" max="5383" width="9" style="15" hidden="1" customWidth="1"/>
    <col min="5384" max="5385" width="6.70909090909091" style="15" customWidth="1"/>
    <col min="5386" max="5386" width="6" style="15" customWidth="1"/>
    <col min="5387" max="5387" width="10.7090909090909" style="15" customWidth="1"/>
    <col min="5388" max="5388" width="12.7090909090909" style="15" customWidth="1"/>
    <col min="5389" max="5390" width="9" style="15" hidden="1" customWidth="1"/>
    <col min="5391" max="5391" width="6.70909090909091" style="15" customWidth="1"/>
    <col min="5392" max="5392" width="4.42727272727273" style="15" customWidth="1"/>
    <col min="5393" max="5393" width="6.13636363636364" style="15" customWidth="1"/>
    <col min="5394" max="5394" width="5.57272727272727" style="15" customWidth="1"/>
    <col min="5395" max="5395" width="8" style="15" customWidth="1"/>
    <col min="5396" max="5396" width="10.7090909090909" style="15" customWidth="1"/>
    <col min="5397" max="5397" width="8.70909090909091" style="15" customWidth="1"/>
    <col min="5398" max="5398" width="10.1363636363636" style="15" customWidth="1"/>
    <col min="5399" max="5399" width="7.42727272727273" style="15" customWidth="1"/>
    <col min="5400" max="5400" width="8.42727272727273" style="15" customWidth="1"/>
    <col min="5401" max="5401" width="8.13636363636364" style="15" customWidth="1"/>
    <col min="5402" max="5402" width="9.42727272727273" style="15" customWidth="1"/>
    <col min="5403" max="5403" width="12" style="15" customWidth="1"/>
    <col min="5404" max="5404" width="8.70909090909091" style="15"/>
    <col min="5405" max="5405" width="9.85454545454546" style="15" customWidth="1"/>
    <col min="5406" max="5406" width="9.70909090909091" style="15" customWidth="1"/>
    <col min="5407" max="5407" width="8.42727272727273" style="15" customWidth="1"/>
    <col min="5408" max="5620" width="8.70909090909091" style="15"/>
    <col min="5621" max="5621" width="5.57272727272727" style="15" customWidth="1"/>
    <col min="5622" max="5624" width="9" style="15" hidden="1" customWidth="1"/>
    <col min="5625" max="5625" width="20.1363636363636" style="15" customWidth="1"/>
    <col min="5626" max="5626" width="10.2818181818182" style="15" customWidth="1"/>
    <col min="5627" max="5627" width="8.57272727272727" style="15" customWidth="1"/>
    <col min="5628" max="5628" width="11.2818181818182" style="15" customWidth="1"/>
    <col min="5629" max="5629" width="6.42727272727273" style="15" customWidth="1"/>
    <col min="5630" max="5630" width="5.85454545454545" style="15" customWidth="1"/>
    <col min="5631" max="5631" width="6" style="15" customWidth="1"/>
    <col min="5632" max="5632" width="10.7090909090909" style="15" customWidth="1"/>
    <col min="5633" max="5633" width="12.7090909090909" style="15" customWidth="1"/>
    <col min="5634" max="5634" width="9" style="15" hidden="1" customWidth="1"/>
    <col min="5635" max="5635" width="6.70909090909091" style="15" customWidth="1"/>
    <col min="5636" max="5636" width="8.70909090909091" style="15"/>
    <col min="5637" max="5637" width="8.28181818181818" style="15" customWidth="1"/>
    <col min="5638" max="5639" width="9" style="15" hidden="1" customWidth="1"/>
    <col min="5640" max="5641" width="6.70909090909091" style="15" customWidth="1"/>
    <col min="5642" max="5642" width="6" style="15" customWidth="1"/>
    <col min="5643" max="5643" width="10.7090909090909" style="15" customWidth="1"/>
    <col min="5644" max="5644" width="12.7090909090909" style="15" customWidth="1"/>
    <col min="5645" max="5646" width="9" style="15" hidden="1" customWidth="1"/>
    <col min="5647" max="5647" width="6.70909090909091" style="15" customWidth="1"/>
    <col min="5648" max="5648" width="4.42727272727273" style="15" customWidth="1"/>
    <col min="5649" max="5649" width="6.13636363636364" style="15" customWidth="1"/>
    <col min="5650" max="5650" width="5.57272727272727" style="15" customWidth="1"/>
    <col min="5651" max="5651" width="8" style="15" customWidth="1"/>
    <col min="5652" max="5652" width="10.7090909090909" style="15" customWidth="1"/>
    <col min="5653" max="5653" width="8.70909090909091" style="15" customWidth="1"/>
    <col min="5654" max="5654" width="10.1363636363636" style="15" customWidth="1"/>
    <col min="5655" max="5655" width="7.42727272727273" style="15" customWidth="1"/>
    <col min="5656" max="5656" width="8.42727272727273" style="15" customWidth="1"/>
    <col min="5657" max="5657" width="8.13636363636364" style="15" customWidth="1"/>
    <col min="5658" max="5658" width="9.42727272727273" style="15" customWidth="1"/>
    <col min="5659" max="5659" width="12" style="15" customWidth="1"/>
    <col min="5660" max="5660" width="8.70909090909091" style="15"/>
    <col min="5661" max="5661" width="9.85454545454546" style="15" customWidth="1"/>
    <col min="5662" max="5662" width="9.70909090909091" style="15" customWidth="1"/>
    <col min="5663" max="5663" width="8.42727272727273" style="15" customWidth="1"/>
    <col min="5664" max="5876" width="8.70909090909091" style="15"/>
    <col min="5877" max="5877" width="5.57272727272727" style="15" customWidth="1"/>
    <col min="5878" max="5880" width="9" style="15" hidden="1" customWidth="1"/>
    <col min="5881" max="5881" width="20.1363636363636" style="15" customWidth="1"/>
    <col min="5882" max="5882" width="10.2818181818182" style="15" customWidth="1"/>
    <col min="5883" max="5883" width="8.57272727272727" style="15" customWidth="1"/>
    <col min="5884" max="5884" width="11.2818181818182" style="15" customWidth="1"/>
    <col min="5885" max="5885" width="6.42727272727273" style="15" customWidth="1"/>
    <col min="5886" max="5886" width="5.85454545454545" style="15" customWidth="1"/>
    <col min="5887" max="5887" width="6" style="15" customWidth="1"/>
    <col min="5888" max="5888" width="10.7090909090909" style="15" customWidth="1"/>
    <col min="5889" max="5889" width="12.7090909090909" style="15" customWidth="1"/>
    <col min="5890" max="5890" width="9" style="15" hidden="1" customWidth="1"/>
    <col min="5891" max="5891" width="6.70909090909091" style="15" customWidth="1"/>
    <col min="5892" max="5892" width="8.70909090909091" style="15"/>
    <col min="5893" max="5893" width="8.28181818181818" style="15" customWidth="1"/>
    <col min="5894" max="5895" width="9" style="15" hidden="1" customWidth="1"/>
    <col min="5896" max="5897" width="6.70909090909091" style="15" customWidth="1"/>
    <col min="5898" max="5898" width="6" style="15" customWidth="1"/>
    <col min="5899" max="5899" width="10.7090909090909" style="15" customWidth="1"/>
    <col min="5900" max="5900" width="12.7090909090909" style="15" customWidth="1"/>
    <col min="5901" max="5902" width="9" style="15" hidden="1" customWidth="1"/>
    <col min="5903" max="5903" width="6.70909090909091" style="15" customWidth="1"/>
    <col min="5904" max="5904" width="4.42727272727273" style="15" customWidth="1"/>
    <col min="5905" max="5905" width="6.13636363636364" style="15" customWidth="1"/>
    <col min="5906" max="5906" width="5.57272727272727" style="15" customWidth="1"/>
    <col min="5907" max="5907" width="8" style="15" customWidth="1"/>
    <col min="5908" max="5908" width="10.7090909090909" style="15" customWidth="1"/>
    <col min="5909" max="5909" width="8.70909090909091" style="15" customWidth="1"/>
    <col min="5910" max="5910" width="10.1363636363636" style="15" customWidth="1"/>
    <col min="5911" max="5911" width="7.42727272727273" style="15" customWidth="1"/>
    <col min="5912" max="5912" width="8.42727272727273" style="15" customWidth="1"/>
    <col min="5913" max="5913" width="8.13636363636364" style="15" customWidth="1"/>
    <col min="5914" max="5914" width="9.42727272727273" style="15" customWidth="1"/>
    <col min="5915" max="5915" width="12" style="15" customWidth="1"/>
    <col min="5916" max="5916" width="8.70909090909091" style="15"/>
    <col min="5917" max="5917" width="9.85454545454546" style="15" customWidth="1"/>
    <col min="5918" max="5918" width="9.70909090909091" style="15" customWidth="1"/>
    <col min="5919" max="5919" width="8.42727272727273" style="15" customWidth="1"/>
    <col min="5920" max="6132" width="8.70909090909091" style="15"/>
    <col min="6133" max="6133" width="5.57272727272727" style="15" customWidth="1"/>
    <col min="6134" max="6136" width="9" style="15" hidden="1" customWidth="1"/>
    <col min="6137" max="6137" width="20.1363636363636" style="15" customWidth="1"/>
    <col min="6138" max="6138" width="10.2818181818182" style="15" customWidth="1"/>
    <col min="6139" max="6139" width="8.57272727272727" style="15" customWidth="1"/>
    <col min="6140" max="6140" width="11.2818181818182" style="15" customWidth="1"/>
    <col min="6141" max="6141" width="6.42727272727273" style="15" customWidth="1"/>
    <col min="6142" max="6142" width="5.85454545454545" style="15" customWidth="1"/>
    <col min="6143" max="6143" width="6" style="15" customWidth="1"/>
    <col min="6144" max="6144" width="10.7090909090909" style="15" customWidth="1"/>
    <col min="6145" max="6145" width="12.7090909090909" style="15" customWidth="1"/>
    <col min="6146" max="6146" width="9" style="15" hidden="1" customWidth="1"/>
    <col min="6147" max="6147" width="6.70909090909091" style="15" customWidth="1"/>
    <col min="6148" max="6148" width="8.70909090909091" style="15"/>
    <col min="6149" max="6149" width="8.28181818181818" style="15" customWidth="1"/>
    <col min="6150" max="6151" width="9" style="15" hidden="1" customWidth="1"/>
    <col min="6152" max="6153" width="6.70909090909091" style="15" customWidth="1"/>
    <col min="6154" max="6154" width="6" style="15" customWidth="1"/>
    <col min="6155" max="6155" width="10.7090909090909" style="15" customWidth="1"/>
    <col min="6156" max="6156" width="12.7090909090909" style="15" customWidth="1"/>
    <col min="6157" max="6158" width="9" style="15" hidden="1" customWidth="1"/>
    <col min="6159" max="6159" width="6.70909090909091" style="15" customWidth="1"/>
    <col min="6160" max="6160" width="4.42727272727273" style="15" customWidth="1"/>
    <col min="6161" max="6161" width="6.13636363636364" style="15" customWidth="1"/>
    <col min="6162" max="6162" width="5.57272727272727" style="15" customWidth="1"/>
    <col min="6163" max="6163" width="8" style="15" customWidth="1"/>
    <col min="6164" max="6164" width="10.7090909090909" style="15" customWidth="1"/>
    <col min="6165" max="6165" width="8.70909090909091" style="15" customWidth="1"/>
    <col min="6166" max="6166" width="10.1363636363636" style="15" customWidth="1"/>
    <col min="6167" max="6167" width="7.42727272727273" style="15" customWidth="1"/>
    <col min="6168" max="6168" width="8.42727272727273" style="15" customWidth="1"/>
    <col min="6169" max="6169" width="8.13636363636364" style="15" customWidth="1"/>
    <col min="6170" max="6170" width="9.42727272727273" style="15" customWidth="1"/>
    <col min="6171" max="6171" width="12" style="15" customWidth="1"/>
    <col min="6172" max="6172" width="8.70909090909091" style="15"/>
    <col min="6173" max="6173" width="9.85454545454546" style="15" customWidth="1"/>
    <col min="6174" max="6174" width="9.70909090909091" style="15" customWidth="1"/>
    <col min="6175" max="6175" width="8.42727272727273" style="15" customWidth="1"/>
    <col min="6176" max="6388" width="8.70909090909091" style="15"/>
    <col min="6389" max="6389" width="5.57272727272727" style="15" customWidth="1"/>
    <col min="6390" max="6392" width="9" style="15" hidden="1" customWidth="1"/>
    <col min="6393" max="6393" width="20.1363636363636" style="15" customWidth="1"/>
    <col min="6394" max="6394" width="10.2818181818182" style="15" customWidth="1"/>
    <col min="6395" max="6395" width="8.57272727272727" style="15" customWidth="1"/>
    <col min="6396" max="6396" width="11.2818181818182" style="15" customWidth="1"/>
    <col min="6397" max="6397" width="6.42727272727273" style="15" customWidth="1"/>
    <col min="6398" max="6398" width="5.85454545454545" style="15" customWidth="1"/>
    <col min="6399" max="6399" width="6" style="15" customWidth="1"/>
    <col min="6400" max="6400" width="10.7090909090909" style="15" customWidth="1"/>
    <col min="6401" max="6401" width="12.7090909090909" style="15" customWidth="1"/>
    <col min="6402" max="6402" width="9" style="15" hidden="1" customWidth="1"/>
    <col min="6403" max="6403" width="6.70909090909091" style="15" customWidth="1"/>
    <col min="6404" max="6404" width="8.70909090909091" style="15"/>
    <col min="6405" max="6405" width="8.28181818181818" style="15" customWidth="1"/>
    <col min="6406" max="6407" width="9" style="15" hidden="1" customWidth="1"/>
    <col min="6408" max="6409" width="6.70909090909091" style="15" customWidth="1"/>
    <col min="6410" max="6410" width="6" style="15" customWidth="1"/>
    <col min="6411" max="6411" width="10.7090909090909" style="15" customWidth="1"/>
    <col min="6412" max="6412" width="12.7090909090909" style="15" customWidth="1"/>
    <col min="6413" max="6414" width="9" style="15" hidden="1" customWidth="1"/>
    <col min="6415" max="6415" width="6.70909090909091" style="15" customWidth="1"/>
    <col min="6416" max="6416" width="4.42727272727273" style="15" customWidth="1"/>
    <col min="6417" max="6417" width="6.13636363636364" style="15" customWidth="1"/>
    <col min="6418" max="6418" width="5.57272727272727" style="15" customWidth="1"/>
    <col min="6419" max="6419" width="8" style="15" customWidth="1"/>
    <col min="6420" max="6420" width="10.7090909090909" style="15" customWidth="1"/>
    <col min="6421" max="6421" width="8.70909090909091" style="15" customWidth="1"/>
    <col min="6422" max="6422" width="10.1363636363636" style="15" customWidth="1"/>
    <col min="6423" max="6423" width="7.42727272727273" style="15" customWidth="1"/>
    <col min="6424" max="6424" width="8.42727272727273" style="15" customWidth="1"/>
    <col min="6425" max="6425" width="8.13636363636364" style="15" customWidth="1"/>
    <col min="6426" max="6426" width="9.42727272727273" style="15" customWidth="1"/>
    <col min="6427" max="6427" width="12" style="15" customWidth="1"/>
    <col min="6428" max="6428" width="8.70909090909091" style="15"/>
    <col min="6429" max="6429" width="9.85454545454546" style="15" customWidth="1"/>
    <col min="6430" max="6430" width="9.70909090909091" style="15" customWidth="1"/>
    <col min="6431" max="6431" width="8.42727272727273" style="15" customWidth="1"/>
    <col min="6432" max="6644" width="8.70909090909091" style="15"/>
    <col min="6645" max="6645" width="5.57272727272727" style="15" customWidth="1"/>
    <col min="6646" max="6648" width="9" style="15" hidden="1" customWidth="1"/>
    <col min="6649" max="6649" width="20.1363636363636" style="15" customWidth="1"/>
    <col min="6650" max="6650" width="10.2818181818182" style="15" customWidth="1"/>
    <col min="6651" max="6651" width="8.57272727272727" style="15" customWidth="1"/>
    <col min="6652" max="6652" width="11.2818181818182" style="15" customWidth="1"/>
    <col min="6653" max="6653" width="6.42727272727273" style="15" customWidth="1"/>
    <col min="6654" max="6654" width="5.85454545454545" style="15" customWidth="1"/>
    <col min="6655" max="6655" width="6" style="15" customWidth="1"/>
    <col min="6656" max="6656" width="10.7090909090909" style="15" customWidth="1"/>
    <col min="6657" max="6657" width="12.7090909090909" style="15" customWidth="1"/>
    <col min="6658" max="6658" width="9" style="15" hidden="1" customWidth="1"/>
    <col min="6659" max="6659" width="6.70909090909091" style="15" customWidth="1"/>
    <col min="6660" max="6660" width="8.70909090909091" style="15"/>
    <col min="6661" max="6661" width="8.28181818181818" style="15" customWidth="1"/>
    <col min="6662" max="6663" width="9" style="15" hidden="1" customWidth="1"/>
    <col min="6664" max="6665" width="6.70909090909091" style="15" customWidth="1"/>
    <col min="6666" max="6666" width="6" style="15" customWidth="1"/>
    <col min="6667" max="6667" width="10.7090909090909" style="15" customWidth="1"/>
    <col min="6668" max="6668" width="12.7090909090909" style="15" customWidth="1"/>
    <col min="6669" max="6670" width="9" style="15" hidden="1" customWidth="1"/>
    <col min="6671" max="6671" width="6.70909090909091" style="15" customWidth="1"/>
    <col min="6672" max="6672" width="4.42727272727273" style="15" customWidth="1"/>
    <col min="6673" max="6673" width="6.13636363636364" style="15" customWidth="1"/>
    <col min="6674" max="6674" width="5.57272727272727" style="15" customWidth="1"/>
    <col min="6675" max="6675" width="8" style="15" customWidth="1"/>
    <col min="6676" max="6676" width="10.7090909090909" style="15" customWidth="1"/>
    <col min="6677" max="6677" width="8.70909090909091" style="15" customWidth="1"/>
    <col min="6678" max="6678" width="10.1363636363636" style="15" customWidth="1"/>
    <col min="6679" max="6679" width="7.42727272727273" style="15" customWidth="1"/>
    <col min="6680" max="6680" width="8.42727272727273" style="15" customWidth="1"/>
    <col min="6681" max="6681" width="8.13636363636364" style="15" customWidth="1"/>
    <col min="6682" max="6682" width="9.42727272727273" style="15" customWidth="1"/>
    <col min="6683" max="6683" width="12" style="15" customWidth="1"/>
    <col min="6684" max="6684" width="8.70909090909091" style="15"/>
    <col min="6685" max="6685" width="9.85454545454546" style="15" customWidth="1"/>
    <col min="6686" max="6686" width="9.70909090909091" style="15" customWidth="1"/>
    <col min="6687" max="6687" width="8.42727272727273" style="15" customWidth="1"/>
    <col min="6688" max="6900" width="8.70909090909091" style="15"/>
    <col min="6901" max="6901" width="5.57272727272727" style="15" customWidth="1"/>
    <col min="6902" max="6904" width="9" style="15" hidden="1" customWidth="1"/>
    <col min="6905" max="6905" width="20.1363636363636" style="15" customWidth="1"/>
    <col min="6906" max="6906" width="10.2818181818182" style="15" customWidth="1"/>
    <col min="6907" max="6907" width="8.57272727272727" style="15" customWidth="1"/>
    <col min="6908" max="6908" width="11.2818181818182" style="15" customWidth="1"/>
    <col min="6909" max="6909" width="6.42727272727273" style="15" customWidth="1"/>
    <col min="6910" max="6910" width="5.85454545454545" style="15" customWidth="1"/>
    <col min="6911" max="6911" width="6" style="15" customWidth="1"/>
    <col min="6912" max="6912" width="10.7090909090909" style="15" customWidth="1"/>
    <col min="6913" max="6913" width="12.7090909090909" style="15" customWidth="1"/>
    <col min="6914" max="6914" width="9" style="15" hidden="1" customWidth="1"/>
    <col min="6915" max="6915" width="6.70909090909091" style="15" customWidth="1"/>
    <col min="6916" max="6916" width="8.70909090909091" style="15"/>
    <col min="6917" max="6917" width="8.28181818181818" style="15" customWidth="1"/>
    <col min="6918" max="6919" width="9" style="15" hidden="1" customWidth="1"/>
    <col min="6920" max="6921" width="6.70909090909091" style="15" customWidth="1"/>
    <col min="6922" max="6922" width="6" style="15" customWidth="1"/>
    <col min="6923" max="6923" width="10.7090909090909" style="15" customWidth="1"/>
    <col min="6924" max="6924" width="12.7090909090909" style="15" customWidth="1"/>
    <col min="6925" max="6926" width="9" style="15" hidden="1" customWidth="1"/>
    <col min="6927" max="6927" width="6.70909090909091" style="15" customWidth="1"/>
    <col min="6928" max="6928" width="4.42727272727273" style="15" customWidth="1"/>
    <col min="6929" max="6929" width="6.13636363636364" style="15" customWidth="1"/>
    <col min="6930" max="6930" width="5.57272727272727" style="15" customWidth="1"/>
    <col min="6931" max="6931" width="8" style="15" customWidth="1"/>
    <col min="6932" max="6932" width="10.7090909090909" style="15" customWidth="1"/>
    <col min="6933" max="6933" width="8.70909090909091" style="15" customWidth="1"/>
    <col min="6934" max="6934" width="10.1363636363636" style="15" customWidth="1"/>
    <col min="6935" max="6935" width="7.42727272727273" style="15" customWidth="1"/>
    <col min="6936" max="6936" width="8.42727272727273" style="15" customWidth="1"/>
    <col min="6937" max="6937" width="8.13636363636364" style="15" customWidth="1"/>
    <col min="6938" max="6938" width="9.42727272727273" style="15" customWidth="1"/>
    <col min="6939" max="6939" width="12" style="15" customWidth="1"/>
    <col min="6940" max="6940" width="8.70909090909091" style="15"/>
    <col min="6941" max="6941" width="9.85454545454546" style="15" customWidth="1"/>
    <col min="6942" max="6942" width="9.70909090909091" style="15" customWidth="1"/>
    <col min="6943" max="6943" width="8.42727272727273" style="15" customWidth="1"/>
    <col min="6944" max="7156" width="8.70909090909091" style="15"/>
    <col min="7157" max="7157" width="5.57272727272727" style="15" customWidth="1"/>
    <col min="7158" max="7160" width="9" style="15" hidden="1" customWidth="1"/>
    <col min="7161" max="7161" width="20.1363636363636" style="15" customWidth="1"/>
    <col min="7162" max="7162" width="10.2818181818182" style="15" customWidth="1"/>
    <col min="7163" max="7163" width="8.57272727272727" style="15" customWidth="1"/>
    <col min="7164" max="7164" width="11.2818181818182" style="15" customWidth="1"/>
    <col min="7165" max="7165" width="6.42727272727273" style="15" customWidth="1"/>
    <col min="7166" max="7166" width="5.85454545454545" style="15" customWidth="1"/>
    <col min="7167" max="7167" width="6" style="15" customWidth="1"/>
    <col min="7168" max="7168" width="10.7090909090909" style="15" customWidth="1"/>
    <col min="7169" max="7169" width="12.7090909090909" style="15" customWidth="1"/>
    <col min="7170" max="7170" width="9" style="15" hidden="1" customWidth="1"/>
    <col min="7171" max="7171" width="6.70909090909091" style="15" customWidth="1"/>
    <col min="7172" max="7172" width="8.70909090909091" style="15"/>
    <col min="7173" max="7173" width="8.28181818181818" style="15" customWidth="1"/>
    <col min="7174" max="7175" width="9" style="15" hidden="1" customWidth="1"/>
    <col min="7176" max="7177" width="6.70909090909091" style="15" customWidth="1"/>
    <col min="7178" max="7178" width="6" style="15" customWidth="1"/>
    <col min="7179" max="7179" width="10.7090909090909" style="15" customWidth="1"/>
    <col min="7180" max="7180" width="12.7090909090909" style="15" customWidth="1"/>
    <col min="7181" max="7182" width="9" style="15" hidden="1" customWidth="1"/>
    <col min="7183" max="7183" width="6.70909090909091" style="15" customWidth="1"/>
    <col min="7184" max="7184" width="4.42727272727273" style="15" customWidth="1"/>
    <col min="7185" max="7185" width="6.13636363636364" style="15" customWidth="1"/>
    <col min="7186" max="7186" width="5.57272727272727" style="15" customWidth="1"/>
    <col min="7187" max="7187" width="8" style="15" customWidth="1"/>
    <col min="7188" max="7188" width="10.7090909090909" style="15" customWidth="1"/>
    <col min="7189" max="7189" width="8.70909090909091" style="15" customWidth="1"/>
    <col min="7190" max="7190" width="10.1363636363636" style="15" customWidth="1"/>
    <col min="7191" max="7191" width="7.42727272727273" style="15" customWidth="1"/>
    <col min="7192" max="7192" width="8.42727272727273" style="15" customWidth="1"/>
    <col min="7193" max="7193" width="8.13636363636364" style="15" customWidth="1"/>
    <col min="7194" max="7194" width="9.42727272727273" style="15" customWidth="1"/>
    <col min="7195" max="7195" width="12" style="15" customWidth="1"/>
    <col min="7196" max="7196" width="8.70909090909091" style="15"/>
    <col min="7197" max="7197" width="9.85454545454546" style="15" customWidth="1"/>
    <col min="7198" max="7198" width="9.70909090909091" style="15" customWidth="1"/>
    <col min="7199" max="7199" width="8.42727272727273" style="15" customWidth="1"/>
    <col min="7200" max="7412" width="8.70909090909091" style="15"/>
    <col min="7413" max="7413" width="5.57272727272727" style="15" customWidth="1"/>
    <col min="7414" max="7416" width="9" style="15" hidden="1" customWidth="1"/>
    <col min="7417" max="7417" width="20.1363636363636" style="15" customWidth="1"/>
    <col min="7418" max="7418" width="10.2818181818182" style="15" customWidth="1"/>
    <col min="7419" max="7419" width="8.57272727272727" style="15" customWidth="1"/>
    <col min="7420" max="7420" width="11.2818181818182" style="15" customWidth="1"/>
    <col min="7421" max="7421" width="6.42727272727273" style="15" customWidth="1"/>
    <col min="7422" max="7422" width="5.85454545454545" style="15" customWidth="1"/>
    <col min="7423" max="7423" width="6" style="15" customWidth="1"/>
    <col min="7424" max="7424" width="10.7090909090909" style="15" customWidth="1"/>
    <col min="7425" max="7425" width="12.7090909090909" style="15" customWidth="1"/>
    <col min="7426" max="7426" width="9" style="15" hidden="1" customWidth="1"/>
    <col min="7427" max="7427" width="6.70909090909091" style="15" customWidth="1"/>
    <col min="7428" max="7428" width="8.70909090909091" style="15"/>
    <col min="7429" max="7429" width="8.28181818181818" style="15" customWidth="1"/>
    <col min="7430" max="7431" width="9" style="15" hidden="1" customWidth="1"/>
    <col min="7432" max="7433" width="6.70909090909091" style="15" customWidth="1"/>
    <col min="7434" max="7434" width="6" style="15" customWidth="1"/>
    <col min="7435" max="7435" width="10.7090909090909" style="15" customWidth="1"/>
    <col min="7436" max="7436" width="12.7090909090909" style="15" customWidth="1"/>
    <col min="7437" max="7438" width="9" style="15" hidden="1" customWidth="1"/>
    <col min="7439" max="7439" width="6.70909090909091" style="15" customWidth="1"/>
    <col min="7440" max="7440" width="4.42727272727273" style="15" customWidth="1"/>
    <col min="7441" max="7441" width="6.13636363636364" style="15" customWidth="1"/>
    <col min="7442" max="7442" width="5.57272727272727" style="15" customWidth="1"/>
    <col min="7443" max="7443" width="8" style="15" customWidth="1"/>
    <col min="7444" max="7444" width="10.7090909090909" style="15" customWidth="1"/>
    <col min="7445" max="7445" width="8.70909090909091" style="15" customWidth="1"/>
    <col min="7446" max="7446" width="10.1363636363636" style="15" customWidth="1"/>
    <col min="7447" max="7447" width="7.42727272727273" style="15" customWidth="1"/>
    <col min="7448" max="7448" width="8.42727272727273" style="15" customWidth="1"/>
    <col min="7449" max="7449" width="8.13636363636364" style="15" customWidth="1"/>
    <col min="7450" max="7450" width="9.42727272727273" style="15" customWidth="1"/>
    <col min="7451" max="7451" width="12" style="15" customWidth="1"/>
    <col min="7452" max="7452" width="8.70909090909091" style="15"/>
    <col min="7453" max="7453" width="9.85454545454546" style="15" customWidth="1"/>
    <col min="7454" max="7454" width="9.70909090909091" style="15" customWidth="1"/>
    <col min="7455" max="7455" width="8.42727272727273" style="15" customWidth="1"/>
    <col min="7456" max="7668" width="8.70909090909091" style="15"/>
    <col min="7669" max="7669" width="5.57272727272727" style="15" customWidth="1"/>
    <col min="7670" max="7672" width="9" style="15" hidden="1" customWidth="1"/>
    <col min="7673" max="7673" width="20.1363636363636" style="15" customWidth="1"/>
    <col min="7674" max="7674" width="10.2818181818182" style="15" customWidth="1"/>
    <col min="7675" max="7675" width="8.57272727272727" style="15" customWidth="1"/>
    <col min="7676" max="7676" width="11.2818181818182" style="15" customWidth="1"/>
    <col min="7677" max="7677" width="6.42727272727273" style="15" customWidth="1"/>
    <col min="7678" max="7678" width="5.85454545454545" style="15" customWidth="1"/>
    <col min="7679" max="7679" width="6" style="15" customWidth="1"/>
    <col min="7680" max="7680" width="10.7090909090909" style="15" customWidth="1"/>
    <col min="7681" max="7681" width="12.7090909090909" style="15" customWidth="1"/>
    <col min="7682" max="7682" width="9" style="15" hidden="1" customWidth="1"/>
    <col min="7683" max="7683" width="6.70909090909091" style="15" customWidth="1"/>
    <col min="7684" max="7684" width="8.70909090909091" style="15"/>
    <col min="7685" max="7685" width="8.28181818181818" style="15" customWidth="1"/>
    <col min="7686" max="7687" width="9" style="15" hidden="1" customWidth="1"/>
    <col min="7688" max="7689" width="6.70909090909091" style="15" customWidth="1"/>
    <col min="7690" max="7690" width="6" style="15" customWidth="1"/>
    <col min="7691" max="7691" width="10.7090909090909" style="15" customWidth="1"/>
    <col min="7692" max="7692" width="12.7090909090909" style="15" customWidth="1"/>
    <col min="7693" max="7694" width="9" style="15" hidden="1" customWidth="1"/>
    <col min="7695" max="7695" width="6.70909090909091" style="15" customWidth="1"/>
    <col min="7696" max="7696" width="4.42727272727273" style="15" customWidth="1"/>
    <col min="7697" max="7697" width="6.13636363636364" style="15" customWidth="1"/>
    <col min="7698" max="7698" width="5.57272727272727" style="15" customWidth="1"/>
    <col min="7699" max="7699" width="8" style="15" customWidth="1"/>
    <col min="7700" max="7700" width="10.7090909090909" style="15" customWidth="1"/>
    <col min="7701" max="7701" width="8.70909090909091" style="15" customWidth="1"/>
    <col min="7702" max="7702" width="10.1363636363636" style="15" customWidth="1"/>
    <col min="7703" max="7703" width="7.42727272727273" style="15" customWidth="1"/>
    <col min="7704" max="7704" width="8.42727272727273" style="15" customWidth="1"/>
    <col min="7705" max="7705" width="8.13636363636364" style="15" customWidth="1"/>
    <col min="7706" max="7706" width="9.42727272727273" style="15" customWidth="1"/>
    <col min="7707" max="7707" width="12" style="15" customWidth="1"/>
    <col min="7708" max="7708" width="8.70909090909091" style="15"/>
    <col min="7709" max="7709" width="9.85454545454546" style="15" customWidth="1"/>
    <col min="7710" max="7710" width="9.70909090909091" style="15" customWidth="1"/>
    <col min="7711" max="7711" width="8.42727272727273" style="15" customWidth="1"/>
    <col min="7712" max="7924" width="8.70909090909091" style="15"/>
    <col min="7925" max="7925" width="5.57272727272727" style="15" customWidth="1"/>
    <col min="7926" max="7928" width="9" style="15" hidden="1" customWidth="1"/>
    <col min="7929" max="7929" width="20.1363636363636" style="15" customWidth="1"/>
    <col min="7930" max="7930" width="10.2818181818182" style="15" customWidth="1"/>
    <col min="7931" max="7931" width="8.57272727272727" style="15" customWidth="1"/>
    <col min="7932" max="7932" width="11.2818181818182" style="15" customWidth="1"/>
    <col min="7933" max="7933" width="6.42727272727273" style="15" customWidth="1"/>
    <col min="7934" max="7934" width="5.85454545454545" style="15" customWidth="1"/>
    <col min="7935" max="7935" width="6" style="15" customWidth="1"/>
    <col min="7936" max="7936" width="10.7090909090909" style="15" customWidth="1"/>
    <col min="7937" max="7937" width="12.7090909090909" style="15" customWidth="1"/>
    <col min="7938" max="7938" width="9" style="15" hidden="1" customWidth="1"/>
    <col min="7939" max="7939" width="6.70909090909091" style="15" customWidth="1"/>
    <col min="7940" max="7940" width="8.70909090909091" style="15"/>
    <col min="7941" max="7941" width="8.28181818181818" style="15" customWidth="1"/>
    <col min="7942" max="7943" width="9" style="15" hidden="1" customWidth="1"/>
    <col min="7944" max="7945" width="6.70909090909091" style="15" customWidth="1"/>
    <col min="7946" max="7946" width="6" style="15" customWidth="1"/>
    <col min="7947" max="7947" width="10.7090909090909" style="15" customWidth="1"/>
    <col min="7948" max="7948" width="12.7090909090909" style="15" customWidth="1"/>
    <col min="7949" max="7950" width="9" style="15" hidden="1" customWidth="1"/>
    <col min="7951" max="7951" width="6.70909090909091" style="15" customWidth="1"/>
    <col min="7952" max="7952" width="4.42727272727273" style="15" customWidth="1"/>
    <col min="7953" max="7953" width="6.13636363636364" style="15" customWidth="1"/>
    <col min="7954" max="7954" width="5.57272727272727" style="15" customWidth="1"/>
    <col min="7955" max="7955" width="8" style="15" customWidth="1"/>
    <col min="7956" max="7956" width="10.7090909090909" style="15" customWidth="1"/>
    <col min="7957" max="7957" width="8.70909090909091" style="15" customWidth="1"/>
    <col min="7958" max="7958" width="10.1363636363636" style="15" customWidth="1"/>
    <col min="7959" max="7959" width="7.42727272727273" style="15" customWidth="1"/>
    <col min="7960" max="7960" width="8.42727272727273" style="15" customWidth="1"/>
    <col min="7961" max="7961" width="8.13636363636364" style="15" customWidth="1"/>
    <col min="7962" max="7962" width="9.42727272727273" style="15" customWidth="1"/>
    <col min="7963" max="7963" width="12" style="15" customWidth="1"/>
    <col min="7964" max="7964" width="8.70909090909091" style="15"/>
    <col min="7965" max="7965" width="9.85454545454546" style="15" customWidth="1"/>
    <col min="7966" max="7966" width="9.70909090909091" style="15" customWidth="1"/>
    <col min="7967" max="7967" width="8.42727272727273" style="15" customWidth="1"/>
    <col min="7968" max="8180" width="8.70909090909091" style="15"/>
    <col min="8181" max="8181" width="5.57272727272727" style="15" customWidth="1"/>
    <col min="8182" max="8184" width="9" style="15" hidden="1" customWidth="1"/>
    <col min="8185" max="8185" width="20.1363636363636" style="15" customWidth="1"/>
    <col min="8186" max="8186" width="10.2818181818182" style="15" customWidth="1"/>
    <col min="8187" max="8187" width="8.57272727272727" style="15" customWidth="1"/>
    <col min="8188" max="8188" width="11.2818181818182" style="15" customWidth="1"/>
    <col min="8189" max="8189" width="6.42727272727273" style="15" customWidth="1"/>
    <col min="8190" max="8190" width="5.85454545454545" style="15" customWidth="1"/>
    <col min="8191" max="8191" width="6" style="15" customWidth="1"/>
    <col min="8192" max="8192" width="10.7090909090909" style="15" customWidth="1"/>
    <col min="8193" max="8193" width="12.7090909090909" style="15" customWidth="1"/>
    <col min="8194" max="8194" width="9" style="15" hidden="1" customWidth="1"/>
    <col min="8195" max="8195" width="6.70909090909091" style="15" customWidth="1"/>
    <col min="8196" max="8196" width="8.70909090909091" style="15"/>
    <col min="8197" max="8197" width="8.28181818181818" style="15" customWidth="1"/>
    <col min="8198" max="8199" width="9" style="15" hidden="1" customWidth="1"/>
    <col min="8200" max="8201" width="6.70909090909091" style="15" customWidth="1"/>
    <col min="8202" max="8202" width="6" style="15" customWidth="1"/>
    <col min="8203" max="8203" width="10.7090909090909" style="15" customWidth="1"/>
    <col min="8204" max="8204" width="12.7090909090909" style="15" customWidth="1"/>
    <col min="8205" max="8206" width="9" style="15" hidden="1" customWidth="1"/>
    <col min="8207" max="8207" width="6.70909090909091" style="15" customWidth="1"/>
    <col min="8208" max="8208" width="4.42727272727273" style="15" customWidth="1"/>
    <col min="8209" max="8209" width="6.13636363636364" style="15" customWidth="1"/>
    <col min="8210" max="8210" width="5.57272727272727" style="15" customWidth="1"/>
    <col min="8211" max="8211" width="8" style="15" customWidth="1"/>
    <col min="8212" max="8212" width="10.7090909090909" style="15" customWidth="1"/>
    <col min="8213" max="8213" width="8.70909090909091" style="15" customWidth="1"/>
    <col min="8214" max="8214" width="10.1363636363636" style="15" customWidth="1"/>
    <col min="8215" max="8215" width="7.42727272727273" style="15" customWidth="1"/>
    <col min="8216" max="8216" width="8.42727272727273" style="15" customWidth="1"/>
    <col min="8217" max="8217" width="8.13636363636364" style="15" customWidth="1"/>
    <col min="8218" max="8218" width="9.42727272727273" style="15" customWidth="1"/>
    <col min="8219" max="8219" width="12" style="15" customWidth="1"/>
    <col min="8220" max="8220" width="8.70909090909091" style="15"/>
    <col min="8221" max="8221" width="9.85454545454546" style="15" customWidth="1"/>
    <col min="8222" max="8222" width="9.70909090909091" style="15" customWidth="1"/>
    <col min="8223" max="8223" width="8.42727272727273" style="15" customWidth="1"/>
    <col min="8224" max="8436" width="8.70909090909091" style="15"/>
    <col min="8437" max="8437" width="5.57272727272727" style="15" customWidth="1"/>
    <col min="8438" max="8440" width="9" style="15" hidden="1" customWidth="1"/>
    <col min="8441" max="8441" width="20.1363636363636" style="15" customWidth="1"/>
    <col min="8442" max="8442" width="10.2818181818182" style="15" customWidth="1"/>
    <col min="8443" max="8443" width="8.57272727272727" style="15" customWidth="1"/>
    <col min="8444" max="8444" width="11.2818181818182" style="15" customWidth="1"/>
    <col min="8445" max="8445" width="6.42727272727273" style="15" customWidth="1"/>
    <col min="8446" max="8446" width="5.85454545454545" style="15" customWidth="1"/>
    <col min="8447" max="8447" width="6" style="15" customWidth="1"/>
    <col min="8448" max="8448" width="10.7090909090909" style="15" customWidth="1"/>
    <col min="8449" max="8449" width="12.7090909090909" style="15" customWidth="1"/>
    <col min="8450" max="8450" width="9" style="15" hidden="1" customWidth="1"/>
    <col min="8451" max="8451" width="6.70909090909091" style="15" customWidth="1"/>
    <col min="8452" max="8452" width="8.70909090909091" style="15"/>
    <col min="8453" max="8453" width="8.28181818181818" style="15" customWidth="1"/>
    <col min="8454" max="8455" width="9" style="15" hidden="1" customWidth="1"/>
    <col min="8456" max="8457" width="6.70909090909091" style="15" customWidth="1"/>
    <col min="8458" max="8458" width="6" style="15" customWidth="1"/>
    <col min="8459" max="8459" width="10.7090909090909" style="15" customWidth="1"/>
    <col min="8460" max="8460" width="12.7090909090909" style="15" customWidth="1"/>
    <col min="8461" max="8462" width="9" style="15" hidden="1" customWidth="1"/>
    <col min="8463" max="8463" width="6.70909090909091" style="15" customWidth="1"/>
    <col min="8464" max="8464" width="4.42727272727273" style="15" customWidth="1"/>
    <col min="8465" max="8465" width="6.13636363636364" style="15" customWidth="1"/>
    <col min="8466" max="8466" width="5.57272727272727" style="15" customWidth="1"/>
    <col min="8467" max="8467" width="8" style="15" customWidth="1"/>
    <col min="8468" max="8468" width="10.7090909090909" style="15" customWidth="1"/>
    <col min="8469" max="8469" width="8.70909090909091" style="15" customWidth="1"/>
    <col min="8470" max="8470" width="10.1363636363636" style="15" customWidth="1"/>
    <col min="8471" max="8471" width="7.42727272727273" style="15" customWidth="1"/>
    <col min="8472" max="8472" width="8.42727272727273" style="15" customWidth="1"/>
    <col min="8473" max="8473" width="8.13636363636364" style="15" customWidth="1"/>
    <col min="8474" max="8474" width="9.42727272727273" style="15" customWidth="1"/>
    <col min="8475" max="8475" width="12" style="15" customWidth="1"/>
    <col min="8476" max="8476" width="8.70909090909091" style="15"/>
    <col min="8477" max="8477" width="9.85454545454546" style="15" customWidth="1"/>
    <col min="8478" max="8478" width="9.70909090909091" style="15" customWidth="1"/>
    <col min="8479" max="8479" width="8.42727272727273" style="15" customWidth="1"/>
    <col min="8480" max="8692" width="8.70909090909091" style="15"/>
    <col min="8693" max="8693" width="5.57272727272727" style="15" customWidth="1"/>
    <col min="8694" max="8696" width="9" style="15" hidden="1" customWidth="1"/>
    <col min="8697" max="8697" width="20.1363636363636" style="15" customWidth="1"/>
    <col min="8698" max="8698" width="10.2818181818182" style="15" customWidth="1"/>
    <col min="8699" max="8699" width="8.57272727272727" style="15" customWidth="1"/>
    <col min="8700" max="8700" width="11.2818181818182" style="15" customWidth="1"/>
    <col min="8701" max="8701" width="6.42727272727273" style="15" customWidth="1"/>
    <col min="8702" max="8702" width="5.85454545454545" style="15" customWidth="1"/>
    <col min="8703" max="8703" width="6" style="15" customWidth="1"/>
    <col min="8704" max="8704" width="10.7090909090909" style="15" customWidth="1"/>
    <col min="8705" max="8705" width="12.7090909090909" style="15" customWidth="1"/>
    <col min="8706" max="8706" width="9" style="15" hidden="1" customWidth="1"/>
    <col min="8707" max="8707" width="6.70909090909091" style="15" customWidth="1"/>
    <col min="8708" max="8708" width="8.70909090909091" style="15"/>
    <col min="8709" max="8709" width="8.28181818181818" style="15" customWidth="1"/>
    <col min="8710" max="8711" width="9" style="15" hidden="1" customWidth="1"/>
    <col min="8712" max="8713" width="6.70909090909091" style="15" customWidth="1"/>
    <col min="8714" max="8714" width="6" style="15" customWidth="1"/>
    <col min="8715" max="8715" width="10.7090909090909" style="15" customWidth="1"/>
    <col min="8716" max="8716" width="12.7090909090909" style="15" customWidth="1"/>
    <col min="8717" max="8718" width="9" style="15" hidden="1" customWidth="1"/>
    <col min="8719" max="8719" width="6.70909090909091" style="15" customWidth="1"/>
    <col min="8720" max="8720" width="4.42727272727273" style="15" customWidth="1"/>
    <col min="8721" max="8721" width="6.13636363636364" style="15" customWidth="1"/>
    <col min="8722" max="8722" width="5.57272727272727" style="15" customWidth="1"/>
    <col min="8723" max="8723" width="8" style="15" customWidth="1"/>
    <col min="8724" max="8724" width="10.7090909090909" style="15" customWidth="1"/>
    <col min="8725" max="8725" width="8.70909090909091" style="15" customWidth="1"/>
    <col min="8726" max="8726" width="10.1363636363636" style="15" customWidth="1"/>
    <col min="8727" max="8727" width="7.42727272727273" style="15" customWidth="1"/>
    <col min="8728" max="8728" width="8.42727272727273" style="15" customWidth="1"/>
    <col min="8729" max="8729" width="8.13636363636364" style="15" customWidth="1"/>
    <col min="8730" max="8730" width="9.42727272727273" style="15" customWidth="1"/>
    <col min="8731" max="8731" width="12" style="15" customWidth="1"/>
    <col min="8732" max="8732" width="8.70909090909091" style="15"/>
    <col min="8733" max="8733" width="9.85454545454546" style="15" customWidth="1"/>
    <col min="8734" max="8734" width="9.70909090909091" style="15" customWidth="1"/>
    <col min="8735" max="8735" width="8.42727272727273" style="15" customWidth="1"/>
    <col min="8736" max="8948" width="8.70909090909091" style="15"/>
    <col min="8949" max="8949" width="5.57272727272727" style="15" customWidth="1"/>
    <col min="8950" max="8952" width="9" style="15" hidden="1" customWidth="1"/>
    <col min="8953" max="8953" width="20.1363636363636" style="15" customWidth="1"/>
    <col min="8954" max="8954" width="10.2818181818182" style="15" customWidth="1"/>
    <col min="8955" max="8955" width="8.57272727272727" style="15" customWidth="1"/>
    <col min="8956" max="8956" width="11.2818181818182" style="15" customWidth="1"/>
    <col min="8957" max="8957" width="6.42727272727273" style="15" customWidth="1"/>
    <col min="8958" max="8958" width="5.85454545454545" style="15" customWidth="1"/>
    <col min="8959" max="8959" width="6" style="15" customWidth="1"/>
    <col min="8960" max="8960" width="10.7090909090909" style="15" customWidth="1"/>
    <col min="8961" max="8961" width="12.7090909090909" style="15" customWidth="1"/>
    <col min="8962" max="8962" width="9" style="15" hidden="1" customWidth="1"/>
    <col min="8963" max="8963" width="6.70909090909091" style="15" customWidth="1"/>
    <col min="8964" max="8964" width="8.70909090909091" style="15"/>
    <col min="8965" max="8965" width="8.28181818181818" style="15" customWidth="1"/>
    <col min="8966" max="8967" width="9" style="15" hidden="1" customWidth="1"/>
    <col min="8968" max="8969" width="6.70909090909091" style="15" customWidth="1"/>
    <col min="8970" max="8970" width="6" style="15" customWidth="1"/>
    <col min="8971" max="8971" width="10.7090909090909" style="15" customWidth="1"/>
    <col min="8972" max="8972" width="12.7090909090909" style="15" customWidth="1"/>
    <col min="8973" max="8974" width="9" style="15" hidden="1" customWidth="1"/>
    <col min="8975" max="8975" width="6.70909090909091" style="15" customWidth="1"/>
    <col min="8976" max="8976" width="4.42727272727273" style="15" customWidth="1"/>
    <col min="8977" max="8977" width="6.13636363636364" style="15" customWidth="1"/>
    <col min="8978" max="8978" width="5.57272727272727" style="15" customWidth="1"/>
    <col min="8979" max="8979" width="8" style="15" customWidth="1"/>
    <col min="8980" max="8980" width="10.7090909090909" style="15" customWidth="1"/>
    <col min="8981" max="8981" width="8.70909090909091" style="15" customWidth="1"/>
    <col min="8982" max="8982" width="10.1363636363636" style="15" customWidth="1"/>
    <col min="8983" max="8983" width="7.42727272727273" style="15" customWidth="1"/>
    <col min="8984" max="8984" width="8.42727272727273" style="15" customWidth="1"/>
    <col min="8985" max="8985" width="8.13636363636364" style="15" customWidth="1"/>
    <col min="8986" max="8986" width="9.42727272727273" style="15" customWidth="1"/>
    <col min="8987" max="8987" width="12" style="15" customWidth="1"/>
    <col min="8988" max="8988" width="8.70909090909091" style="15"/>
    <col min="8989" max="8989" width="9.85454545454546" style="15" customWidth="1"/>
    <col min="8990" max="8990" width="9.70909090909091" style="15" customWidth="1"/>
    <col min="8991" max="8991" width="8.42727272727273" style="15" customWidth="1"/>
    <col min="8992" max="9204" width="8.70909090909091" style="15"/>
    <col min="9205" max="9205" width="5.57272727272727" style="15" customWidth="1"/>
    <col min="9206" max="9208" width="9" style="15" hidden="1" customWidth="1"/>
    <col min="9209" max="9209" width="20.1363636363636" style="15" customWidth="1"/>
    <col min="9210" max="9210" width="10.2818181818182" style="15" customWidth="1"/>
    <col min="9211" max="9211" width="8.57272727272727" style="15" customWidth="1"/>
    <col min="9212" max="9212" width="11.2818181818182" style="15" customWidth="1"/>
    <col min="9213" max="9213" width="6.42727272727273" style="15" customWidth="1"/>
    <col min="9214" max="9214" width="5.85454545454545" style="15" customWidth="1"/>
    <col min="9215" max="9215" width="6" style="15" customWidth="1"/>
    <col min="9216" max="9216" width="10.7090909090909" style="15" customWidth="1"/>
    <col min="9217" max="9217" width="12.7090909090909" style="15" customWidth="1"/>
    <col min="9218" max="9218" width="9" style="15" hidden="1" customWidth="1"/>
    <col min="9219" max="9219" width="6.70909090909091" style="15" customWidth="1"/>
    <col min="9220" max="9220" width="8.70909090909091" style="15"/>
    <col min="9221" max="9221" width="8.28181818181818" style="15" customWidth="1"/>
    <col min="9222" max="9223" width="9" style="15" hidden="1" customWidth="1"/>
    <col min="9224" max="9225" width="6.70909090909091" style="15" customWidth="1"/>
    <col min="9226" max="9226" width="6" style="15" customWidth="1"/>
    <col min="9227" max="9227" width="10.7090909090909" style="15" customWidth="1"/>
    <col min="9228" max="9228" width="12.7090909090909" style="15" customWidth="1"/>
    <col min="9229" max="9230" width="9" style="15" hidden="1" customWidth="1"/>
    <col min="9231" max="9231" width="6.70909090909091" style="15" customWidth="1"/>
    <col min="9232" max="9232" width="4.42727272727273" style="15" customWidth="1"/>
    <col min="9233" max="9233" width="6.13636363636364" style="15" customWidth="1"/>
    <col min="9234" max="9234" width="5.57272727272727" style="15" customWidth="1"/>
    <col min="9235" max="9235" width="8" style="15" customWidth="1"/>
    <col min="9236" max="9236" width="10.7090909090909" style="15" customWidth="1"/>
    <col min="9237" max="9237" width="8.70909090909091" style="15" customWidth="1"/>
    <col min="9238" max="9238" width="10.1363636363636" style="15" customWidth="1"/>
    <col min="9239" max="9239" width="7.42727272727273" style="15" customWidth="1"/>
    <col min="9240" max="9240" width="8.42727272727273" style="15" customWidth="1"/>
    <col min="9241" max="9241" width="8.13636363636364" style="15" customWidth="1"/>
    <col min="9242" max="9242" width="9.42727272727273" style="15" customWidth="1"/>
    <col min="9243" max="9243" width="12" style="15" customWidth="1"/>
    <col min="9244" max="9244" width="8.70909090909091" style="15"/>
    <col min="9245" max="9245" width="9.85454545454546" style="15" customWidth="1"/>
    <col min="9246" max="9246" width="9.70909090909091" style="15" customWidth="1"/>
    <col min="9247" max="9247" width="8.42727272727273" style="15" customWidth="1"/>
    <col min="9248" max="9460" width="8.70909090909091" style="15"/>
    <col min="9461" max="9461" width="5.57272727272727" style="15" customWidth="1"/>
    <col min="9462" max="9464" width="9" style="15" hidden="1" customWidth="1"/>
    <col min="9465" max="9465" width="20.1363636363636" style="15" customWidth="1"/>
    <col min="9466" max="9466" width="10.2818181818182" style="15" customWidth="1"/>
    <col min="9467" max="9467" width="8.57272727272727" style="15" customWidth="1"/>
    <col min="9468" max="9468" width="11.2818181818182" style="15" customWidth="1"/>
    <col min="9469" max="9469" width="6.42727272727273" style="15" customWidth="1"/>
    <col min="9470" max="9470" width="5.85454545454545" style="15" customWidth="1"/>
    <col min="9471" max="9471" width="6" style="15" customWidth="1"/>
    <col min="9472" max="9472" width="10.7090909090909" style="15" customWidth="1"/>
    <col min="9473" max="9473" width="12.7090909090909" style="15" customWidth="1"/>
    <col min="9474" max="9474" width="9" style="15" hidden="1" customWidth="1"/>
    <col min="9475" max="9475" width="6.70909090909091" style="15" customWidth="1"/>
    <col min="9476" max="9476" width="8.70909090909091" style="15"/>
    <col min="9477" max="9477" width="8.28181818181818" style="15" customWidth="1"/>
    <col min="9478" max="9479" width="9" style="15" hidden="1" customWidth="1"/>
    <col min="9480" max="9481" width="6.70909090909091" style="15" customWidth="1"/>
    <col min="9482" max="9482" width="6" style="15" customWidth="1"/>
    <col min="9483" max="9483" width="10.7090909090909" style="15" customWidth="1"/>
    <col min="9484" max="9484" width="12.7090909090909" style="15" customWidth="1"/>
    <col min="9485" max="9486" width="9" style="15" hidden="1" customWidth="1"/>
    <col min="9487" max="9487" width="6.70909090909091" style="15" customWidth="1"/>
    <col min="9488" max="9488" width="4.42727272727273" style="15" customWidth="1"/>
    <col min="9489" max="9489" width="6.13636363636364" style="15" customWidth="1"/>
    <col min="9490" max="9490" width="5.57272727272727" style="15" customWidth="1"/>
    <col min="9491" max="9491" width="8" style="15" customWidth="1"/>
    <col min="9492" max="9492" width="10.7090909090909" style="15" customWidth="1"/>
    <col min="9493" max="9493" width="8.70909090909091" style="15" customWidth="1"/>
    <col min="9494" max="9494" width="10.1363636363636" style="15" customWidth="1"/>
    <col min="9495" max="9495" width="7.42727272727273" style="15" customWidth="1"/>
    <col min="9496" max="9496" width="8.42727272727273" style="15" customWidth="1"/>
    <col min="9497" max="9497" width="8.13636363636364" style="15" customWidth="1"/>
    <col min="9498" max="9498" width="9.42727272727273" style="15" customWidth="1"/>
    <col min="9499" max="9499" width="12" style="15" customWidth="1"/>
    <col min="9500" max="9500" width="8.70909090909091" style="15"/>
    <col min="9501" max="9501" width="9.85454545454546" style="15" customWidth="1"/>
    <col min="9502" max="9502" width="9.70909090909091" style="15" customWidth="1"/>
    <col min="9503" max="9503" width="8.42727272727273" style="15" customWidth="1"/>
    <col min="9504" max="9716" width="8.70909090909091" style="15"/>
    <col min="9717" max="9717" width="5.57272727272727" style="15" customWidth="1"/>
    <col min="9718" max="9720" width="9" style="15" hidden="1" customWidth="1"/>
    <col min="9721" max="9721" width="20.1363636363636" style="15" customWidth="1"/>
    <col min="9722" max="9722" width="10.2818181818182" style="15" customWidth="1"/>
    <col min="9723" max="9723" width="8.57272727272727" style="15" customWidth="1"/>
    <col min="9724" max="9724" width="11.2818181818182" style="15" customWidth="1"/>
    <col min="9725" max="9725" width="6.42727272727273" style="15" customWidth="1"/>
    <col min="9726" max="9726" width="5.85454545454545" style="15" customWidth="1"/>
    <col min="9727" max="9727" width="6" style="15" customWidth="1"/>
    <col min="9728" max="9728" width="10.7090909090909" style="15" customWidth="1"/>
    <col min="9729" max="9729" width="12.7090909090909" style="15" customWidth="1"/>
    <col min="9730" max="9730" width="9" style="15" hidden="1" customWidth="1"/>
    <col min="9731" max="9731" width="6.70909090909091" style="15" customWidth="1"/>
    <col min="9732" max="9732" width="8.70909090909091" style="15"/>
    <col min="9733" max="9733" width="8.28181818181818" style="15" customWidth="1"/>
    <col min="9734" max="9735" width="9" style="15" hidden="1" customWidth="1"/>
    <col min="9736" max="9737" width="6.70909090909091" style="15" customWidth="1"/>
    <col min="9738" max="9738" width="6" style="15" customWidth="1"/>
    <col min="9739" max="9739" width="10.7090909090909" style="15" customWidth="1"/>
    <col min="9740" max="9740" width="12.7090909090909" style="15" customWidth="1"/>
    <col min="9741" max="9742" width="9" style="15" hidden="1" customWidth="1"/>
    <col min="9743" max="9743" width="6.70909090909091" style="15" customWidth="1"/>
    <col min="9744" max="9744" width="4.42727272727273" style="15" customWidth="1"/>
    <col min="9745" max="9745" width="6.13636363636364" style="15" customWidth="1"/>
    <col min="9746" max="9746" width="5.57272727272727" style="15" customWidth="1"/>
    <col min="9747" max="9747" width="8" style="15" customWidth="1"/>
    <col min="9748" max="9748" width="10.7090909090909" style="15" customWidth="1"/>
    <col min="9749" max="9749" width="8.70909090909091" style="15" customWidth="1"/>
    <col min="9750" max="9750" width="10.1363636363636" style="15" customWidth="1"/>
    <col min="9751" max="9751" width="7.42727272727273" style="15" customWidth="1"/>
    <col min="9752" max="9752" width="8.42727272727273" style="15" customWidth="1"/>
    <col min="9753" max="9753" width="8.13636363636364" style="15" customWidth="1"/>
    <col min="9754" max="9754" width="9.42727272727273" style="15" customWidth="1"/>
    <col min="9755" max="9755" width="12" style="15" customWidth="1"/>
    <col min="9756" max="9756" width="8.70909090909091" style="15"/>
    <col min="9757" max="9757" width="9.85454545454546" style="15" customWidth="1"/>
    <col min="9758" max="9758" width="9.70909090909091" style="15" customWidth="1"/>
    <col min="9759" max="9759" width="8.42727272727273" style="15" customWidth="1"/>
    <col min="9760" max="9972" width="8.70909090909091" style="15"/>
    <col min="9973" max="9973" width="5.57272727272727" style="15" customWidth="1"/>
    <col min="9974" max="9976" width="9" style="15" hidden="1" customWidth="1"/>
    <col min="9977" max="9977" width="20.1363636363636" style="15" customWidth="1"/>
    <col min="9978" max="9978" width="10.2818181818182" style="15" customWidth="1"/>
    <col min="9979" max="9979" width="8.57272727272727" style="15" customWidth="1"/>
    <col min="9980" max="9980" width="11.2818181818182" style="15" customWidth="1"/>
    <col min="9981" max="9981" width="6.42727272727273" style="15" customWidth="1"/>
    <col min="9982" max="9982" width="5.85454545454545" style="15" customWidth="1"/>
    <col min="9983" max="9983" width="6" style="15" customWidth="1"/>
    <col min="9984" max="9984" width="10.7090909090909" style="15" customWidth="1"/>
    <col min="9985" max="9985" width="12.7090909090909" style="15" customWidth="1"/>
    <col min="9986" max="9986" width="9" style="15" hidden="1" customWidth="1"/>
    <col min="9987" max="9987" width="6.70909090909091" style="15" customWidth="1"/>
    <col min="9988" max="9988" width="8.70909090909091" style="15"/>
    <col min="9989" max="9989" width="8.28181818181818" style="15" customWidth="1"/>
    <col min="9990" max="9991" width="9" style="15" hidden="1" customWidth="1"/>
    <col min="9992" max="9993" width="6.70909090909091" style="15" customWidth="1"/>
    <col min="9994" max="9994" width="6" style="15" customWidth="1"/>
    <col min="9995" max="9995" width="10.7090909090909" style="15" customWidth="1"/>
    <col min="9996" max="9996" width="12.7090909090909" style="15" customWidth="1"/>
    <col min="9997" max="9998" width="9" style="15" hidden="1" customWidth="1"/>
    <col min="9999" max="9999" width="6.70909090909091" style="15" customWidth="1"/>
    <col min="10000" max="10000" width="4.42727272727273" style="15" customWidth="1"/>
    <col min="10001" max="10001" width="6.13636363636364" style="15" customWidth="1"/>
    <col min="10002" max="10002" width="5.57272727272727" style="15" customWidth="1"/>
    <col min="10003" max="10003" width="8" style="15" customWidth="1"/>
    <col min="10004" max="10004" width="10.7090909090909" style="15" customWidth="1"/>
    <col min="10005" max="10005" width="8.70909090909091" style="15" customWidth="1"/>
    <col min="10006" max="10006" width="10.1363636363636" style="15" customWidth="1"/>
    <col min="10007" max="10007" width="7.42727272727273" style="15" customWidth="1"/>
    <col min="10008" max="10008" width="8.42727272727273" style="15" customWidth="1"/>
    <col min="10009" max="10009" width="8.13636363636364" style="15" customWidth="1"/>
    <col min="10010" max="10010" width="9.42727272727273" style="15" customWidth="1"/>
    <col min="10011" max="10011" width="12" style="15" customWidth="1"/>
    <col min="10012" max="10012" width="8.70909090909091" style="15"/>
    <col min="10013" max="10013" width="9.85454545454546" style="15" customWidth="1"/>
    <col min="10014" max="10014" width="9.70909090909091" style="15" customWidth="1"/>
    <col min="10015" max="10015" width="8.42727272727273" style="15" customWidth="1"/>
    <col min="10016" max="10228" width="8.70909090909091" style="15"/>
    <col min="10229" max="10229" width="5.57272727272727" style="15" customWidth="1"/>
    <col min="10230" max="10232" width="9" style="15" hidden="1" customWidth="1"/>
    <col min="10233" max="10233" width="20.1363636363636" style="15" customWidth="1"/>
    <col min="10234" max="10234" width="10.2818181818182" style="15" customWidth="1"/>
    <col min="10235" max="10235" width="8.57272727272727" style="15" customWidth="1"/>
    <col min="10236" max="10236" width="11.2818181818182" style="15" customWidth="1"/>
    <col min="10237" max="10237" width="6.42727272727273" style="15" customWidth="1"/>
    <col min="10238" max="10238" width="5.85454545454545" style="15" customWidth="1"/>
    <col min="10239" max="10239" width="6" style="15" customWidth="1"/>
    <col min="10240" max="10240" width="10.7090909090909" style="15" customWidth="1"/>
    <col min="10241" max="10241" width="12.7090909090909" style="15" customWidth="1"/>
    <col min="10242" max="10242" width="9" style="15" hidden="1" customWidth="1"/>
    <col min="10243" max="10243" width="6.70909090909091" style="15" customWidth="1"/>
    <col min="10244" max="10244" width="8.70909090909091" style="15"/>
    <col min="10245" max="10245" width="8.28181818181818" style="15" customWidth="1"/>
    <col min="10246" max="10247" width="9" style="15" hidden="1" customWidth="1"/>
    <col min="10248" max="10249" width="6.70909090909091" style="15" customWidth="1"/>
    <col min="10250" max="10250" width="6" style="15" customWidth="1"/>
    <col min="10251" max="10251" width="10.7090909090909" style="15" customWidth="1"/>
    <col min="10252" max="10252" width="12.7090909090909" style="15" customWidth="1"/>
    <col min="10253" max="10254" width="9" style="15" hidden="1" customWidth="1"/>
    <col min="10255" max="10255" width="6.70909090909091" style="15" customWidth="1"/>
    <col min="10256" max="10256" width="4.42727272727273" style="15" customWidth="1"/>
    <col min="10257" max="10257" width="6.13636363636364" style="15" customWidth="1"/>
    <col min="10258" max="10258" width="5.57272727272727" style="15" customWidth="1"/>
    <col min="10259" max="10259" width="8" style="15" customWidth="1"/>
    <col min="10260" max="10260" width="10.7090909090909" style="15" customWidth="1"/>
    <col min="10261" max="10261" width="8.70909090909091" style="15" customWidth="1"/>
    <col min="10262" max="10262" width="10.1363636363636" style="15" customWidth="1"/>
    <col min="10263" max="10263" width="7.42727272727273" style="15" customWidth="1"/>
    <col min="10264" max="10264" width="8.42727272727273" style="15" customWidth="1"/>
    <col min="10265" max="10265" width="8.13636363636364" style="15" customWidth="1"/>
    <col min="10266" max="10266" width="9.42727272727273" style="15" customWidth="1"/>
    <col min="10267" max="10267" width="12" style="15" customWidth="1"/>
    <col min="10268" max="10268" width="8.70909090909091" style="15"/>
    <col min="10269" max="10269" width="9.85454545454546" style="15" customWidth="1"/>
    <col min="10270" max="10270" width="9.70909090909091" style="15" customWidth="1"/>
    <col min="10271" max="10271" width="8.42727272727273" style="15" customWidth="1"/>
    <col min="10272" max="10484" width="8.70909090909091" style="15"/>
    <col min="10485" max="10485" width="5.57272727272727" style="15" customWidth="1"/>
    <col min="10486" max="10488" width="9" style="15" hidden="1" customWidth="1"/>
    <col min="10489" max="10489" width="20.1363636363636" style="15" customWidth="1"/>
    <col min="10490" max="10490" width="10.2818181818182" style="15" customWidth="1"/>
    <col min="10491" max="10491" width="8.57272727272727" style="15" customWidth="1"/>
    <col min="10492" max="10492" width="11.2818181818182" style="15" customWidth="1"/>
    <col min="10493" max="10493" width="6.42727272727273" style="15" customWidth="1"/>
    <col min="10494" max="10494" width="5.85454545454545" style="15" customWidth="1"/>
    <col min="10495" max="10495" width="6" style="15" customWidth="1"/>
    <col min="10496" max="10496" width="10.7090909090909" style="15" customWidth="1"/>
    <col min="10497" max="10497" width="12.7090909090909" style="15" customWidth="1"/>
    <col min="10498" max="10498" width="9" style="15" hidden="1" customWidth="1"/>
    <col min="10499" max="10499" width="6.70909090909091" style="15" customWidth="1"/>
    <col min="10500" max="10500" width="8.70909090909091" style="15"/>
    <col min="10501" max="10501" width="8.28181818181818" style="15" customWidth="1"/>
    <col min="10502" max="10503" width="9" style="15" hidden="1" customWidth="1"/>
    <col min="10504" max="10505" width="6.70909090909091" style="15" customWidth="1"/>
    <col min="10506" max="10506" width="6" style="15" customWidth="1"/>
    <col min="10507" max="10507" width="10.7090909090909" style="15" customWidth="1"/>
    <col min="10508" max="10508" width="12.7090909090909" style="15" customWidth="1"/>
    <col min="10509" max="10510" width="9" style="15" hidden="1" customWidth="1"/>
    <col min="10511" max="10511" width="6.70909090909091" style="15" customWidth="1"/>
    <col min="10512" max="10512" width="4.42727272727273" style="15" customWidth="1"/>
    <col min="10513" max="10513" width="6.13636363636364" style="15" customWidth="1"/>
    <col min="10514" max="10514" width="5.57272727272727" style="15" customWidth="1"/>
    <col min="10515" max="10515" width="8" style="15" customWidth="1"/>
    <col min="10516" max="10516" width="10.7090909090909" style="15" customWidth="1"/>
    <col min="10517" max="10517" width="8.70909090909091" style="15" customWidth="1"/>
    <col min="10518" max="10518" width="10.1363636363636" style="15" customWidth="1"/>
    <col min="10519" max="10519" width="7.42727272727273" style="15" customWidth="1"/>
    <col min="10520" max="10520" width="8.42727272727273" style="15" customWidth="1"/>
    <col min="10521" max="10521" width="8.13636363636364" style="15" customWidth="1"/>
    <col min="10522" max="10522" width="9.42727272727273" style="15" customWidth="1"/>
    <col min="10523" max="10523" width="12" style="15" customWidth="1"/>
    <col min="10524" max="10524" width="8.70909090909091" style="15"/>
    <col min="10525" max="10525" width="9.85454545454546" style="15" customWidth="1"/>
    <col min="10526" max="10526" width="9.70909090909091" style="15" customWidth="1"/>
    <col min="10527" max="10527" width="8.42727272727273" style="15" customWidth="1"/>
    <col min="10528" max="10740" width="8.70909090909091" style="15"/>
    <col min="10741" max="10741" width="5.57272727272727" style="15" customWidth="1"/>
    <col min="10742" max="10744" width="9" style="15" hidden="1" customWidth="1"/>
    <col min="10745" max="10745" width="20.1363636363636" style="15" customWidth="1"/>
    <col min="10746" max="10746" width="10.2818181818182" style="15" customWidth="1"/>
    <col min="10747" max="10747" width="8.57272727272727" style="15" customWidth="1"/>
    <col min="10748" max="10748" width="11.2818181818182" style="15" customWidth="1"/>
    <col min="10749" max="10749" width="6.42727272727273" style="15" customWidth="1"/>
    <col min="10750" max="10750" width="5.85454545454545" style="15" customWidth="1"/>
    <col min="10751" max="10751" width="6" style="15" customWidth="1"/>
    <col min="10752" max="10752" width="10.7090909090909" style="15" customWidth="1"/>
    <col min="10753" max="10753" width="12.7090909090909" style="15" customWidth="1"/>
    <col min="10754" max="10754" width="9" style="15" hidden="1" customWidth="1"/>
    <col min="10755" max="10755" width="6.70909090909091" style="15" customWidth="1"/>
    <col min="10756" max="10756" width="8.70909090909091" style="15"/>
    <col min="10757" max="10757" width="8.28181818181818" style="15" customWidth="1"/>
    <col min="10758" max="10759" width="9" style="15" hidden="1" customWidth="1"/>
    <col min="10760" max="10761" width="6.70909090909091" style="15" customWidth="1"/>
    <col min="10762" max="10762" width="6" style="15" customWidth="1"/>
    <col min="10763" max="10763" width="10.7090909090909" style="15" customWidth="1"/>
    <col min="10764" max="10764" width="12.7090909090909" style="15" customWidth="1"/>
    <col min="10765" max="10766" width="9" style="15" hidden="1" customWidth="1"/>
    <col min="10767" max="10767" width="6.70909090909091" style="15" customWidth="1"/>
    <col min="10768" max="10768" width="4.42727272727273" style="15" customWidth="1"/>
    <col min="10769" max="10769" width="6.13636363636364" style="15" customWidth="1"/>
    <col min="10770" max="10770" width="5.57272727272727" style="15" customWidth="1"/>
    <col min="10771" max="10771" width="8" style="15" customWidth="1"/>
    <col min="10772" max="10772" width="10.7090909090909" style="15" customWidth="1"/>
    <col min="10773" max="10773" width="8.70909090909091" style="15" customWidth="1"/>
    <col min="10774" max="10774" width="10.1363636363636" style="15" customWidth="1"/>
    <col min="10775" max="10775" width="7.42727272727273" style="15" customWidth="1"/>
    <col min="10776" max="10776" width="8.42727272727273" style="15" customWidth="1"/>
    <col min="10777" max="10777" width="8.13636363636364" style="15" customWidth="1"/>
    <col min="10778" max="10778" width="9.42727272727273" style="15" customWidth="1"/>
    <col min="10779" max="10779" width="12" style="15" customWidth="1"/>
    <col min="10780" max="10780" width="8.70909090909091" style="15"/>
    <col min="10781" max="10781" width="9.85454545454546" style="15" customWidth="1"/>
    <col min="10782" max="10782" width="9.70909090909091" style="15" customWidth="1"/>
    <col min="10783" max="10783" width="8.42727272727273" style="15" customWidth="1"/>
    <col min="10784" max="10996" width="8.70909090909091" style="15"/>
    <col min="10997" max="10997" width="5.57272727272727" style="15" customWidth="1"/>
    <col min="10998" max="11000" width="9" style="15" hidden="1" customWidth="1"/>
    <col min="11001" max="11001" width="20.1363636363636" style="15" customWidth="1"/>
    <col min="11002" max="11002" width="10.2818181818182" style="15" customWidth="1"/>
    <col min="11003" max="11003" width="8.57272727272727" style="15" customWidth="1"/>
    <col min="11004" max="11004" width="11.2818181818182" style="15" customWidth="1"/>
    <col min="11005" max="11005" width="6.42727272727273" style="15" customWidth="1"/>
    <col min="11006" max="11006" width="5.85454545454545" style="15" customWidth="1"/>
    <col min="11007" max="11007" width="6" style="15" customWidth="1"/>
    <col min="11008" max="11008" width="10.7090909090909" style="15" customWidth="1"/>
    <col min="11009" max="11009" width="12.7090909090909" style="15" customWidth="1"/>
    <col min="11010" max="11010" width="9" style="15" hidden="1" customWidth="1"/>
    <col min="11011" max="11011" width="6.70909090909091" style="15" customWidth="1"/>
    <col min="11012" max="11012" width="8.70909090909091" style="15"/>
    <col min="11013" max="11013" width="8.28181818181818" style="15" customWidth="1"/>
    <col min="11014" max="11015" width="9" style="15" hidden="1" customWidth="1"/>
    <col min="11016" max="11017" width="6.70909090909091" style="15" customWidth="1"/>
    <col min="11018" max="11018" width="6" style="15" customWidth="1"/>
    <col min="11019" max="11019" width="10.7090909090909" style="15" customWidth="1"/>
    <col min="11020" max="11020" width="12.7090909090909" style="15" customWidth="1"/>
    <col min="11021" max="11022" width="9" style="15" hidden="1" customWidth="1"/>
    <col min="11023" max="11023" width="6.70909090909091" style="15" customWidth="1"/>
    <col min="11024" max="11024" width="4.42727272727273" style="15" customWidth="1"/>
    <col min="11025" max="11025" width="6.13636363636364" style="15" customWidth="1"/>
    <col min="11026" max="11026" width="5.57272727272727" style="15" customWidth="1"/>
    <col min="11027" max="11027" width="8" style="15" customWidth="1"/>
    <col min="11028" max="11028" width="10.7090909090909" style="15" customWidth="1"/>
    <col min="11029" max="11029" width="8.70909090909091" style="15" customWidth="1"/>
    <col min="11030" max="11030" width="10.1363636363636" style="15" customWidth="1"/>
    <col min="11031" max="11031" width="7.42727272727273" style="15" customWidth="1"/>
    <col min="11032" max="11032" width="8.42727272727273" style="15" customWidth="1"/>
    <col min="11033" max="11033" width="8.13636363636364" style="15" customWidth="1"/>
    <col min="11034" max="11034" width="9.42727272727273" style="15" customWidth="1"/>
    <col min="11035" max="11035" width="12" style="15" customWidth="1"/>
    <col min="11036" max="11036" width="8.70909090909091" style="15"/>
    <col min="11037" max="11037" width="9.85454545454546" style="15" customWidth="1"/>
    <col min="11038" max="11038" width="9.70909090909091" style="15" customWidth="1"/>
    <col min="11039" max="11039" width="8.42727272727273" style="15" customWidth="1"/>
    <col min="11040" max="11252" width="8.70909090909091" style="15"/>
    <col min="11253" max="11253" width="5.57272727272727" style="15" customWidth="1"/>
    <col min="11254" max="11256" width="9" style="15" hidden="1" customWidth="1"/>
    <col min="11257" max="11257" width="20.1363636363636" style="15" customWidth="1"/>
    <col min="11258" max="11258" width="10.2818181818182" style="15" customWidth="1"/>
    <col min="11259" max="11259" width="8.57272727272727" style="15" customWidth="1"/>
    <col min="11260" max="11260" width="11.2818181818182" style="15" customWidth="1"/>
    <col min="11261" max="11261" width="6.42727272727273" style="15" customWidth="1"/>
    <col min="11262" max="11262" width="5.85454545454545" style="15" customWidth="1"/>
    <col min="11263" max="11263" width="6" style="15" customWidth="1"/>
    <col min="11264" max="11264" width="10.7090909090909" style="15" customWidth="1"/>
    <col min="11265" max="11265" width="12.7090909090909" style="15" customWidth="1"/>
    <col min="11266" max="11266" width="9" style="15" hidden="1" customWidth="1"/>
    <col min="11267" max="11267" width="6.70909090909091" style="15" customWidth="1"/>
    <col min="11268" max="11268" width="8.70909090909091" style="15"/>
    <col min="11269" max="11269" width="8.28181818181818" style="15" customWidth="1"/>
    <col min="11270" max="11271" width="9" style="15" hidden="1" customWidth="1"/>
    <col min="11272" max="11273" width="6.70909090909091" style="15" customWidth="1"/>
    <col min="11274" max="11274" width="6" style="15" customWidth="1"/>
    <col min="11275" max="11275" width="10.7090909090909" style="15" customWidth="1"/>
    <col min="11276" max="11276" width="12.7090909090909" style="15" customWidth="1"/>
    <col min="11277" max="11278" width="9" style="15" hidden="1" customWidth="1"/>
    <col min="11279" max="11279" width="6.70909090909091" style="15" customWidth="1"/>
    <col min="11280" max="11280" width="4.42727272727273" style="15" customWidth="1"/>
    <col min="11281" max="11281" width="6.13636363636364" style="15" customWidth="1"/>
    <col min="11282" max="11282" width="5.57272727272727" style="15" customWidth="1"/>
    <col min="11283" max="11283" width="8" style="15" customWidth="1"/>
    <col min="11284" max="11284" width="10.7090909090909" style="15" customWidth="1"/>
    <col min="11285" max="11285" width="8.70909090909091" style="15" customWidth="1"/>
    <col min="11286" max="11286" width="10.1363636363636" style="15" customWidth="1"/>
    <col min="11287" max="11287" width="7.42727272727273" style="15" customWidth="1"/>
    <col min="11288" max="11288" width="8.42727272727273" style="15" customWidth="1"/>
    <col min="11289" max="11289" width="8.13636363636364" style="15" customWidth="1"/>
    <col min="11290" max="11290" width="9.42727272727273" style="15" customWidth="1"/>
    <col min="11291" max="11291" width="12" style="15" customWidth="1"/>
    <col min="11292" max="11292" width="8.70909090909091" style="15"/>
    <col min="11293" max="11293" width="9.85454545454546" style="15" customWidth="1"/>
    <col min="11294" max="11294" width="9.70909090909091" style="15" customWidth="1"/>
    <col min="11295" max="11295" width="8.42727272727273" style="15" customWidth="1"/>
    <col min="11296" max="11508" width="8.70909090909091" style="15"/>
    <col min="11509" max="11509" width="5.57272727272727" style="15" customWidth="1"/>
    <col min="11510" max="11512" width="9" style="15" hidden="1" customWidth="1"/>
    <col min="11513" max="11513" width="20.1363636363636" style="15" customWidth="1"/>
    <col min="11514" max="11514" width="10.2818181818182" style="15" customWidth="1"/>
    <col min="11515" max="11515" width="8.57272727272727" style="15" customWidth="1"/>
    <col min="11516" max="11516" width="11.2818181818182" style="15" customWidth="1"/>
    <col min="11517" max="11517" width="6.42727272727273" style="15" customWidth="1"/>
    <col min="11518" max="11518" width="5.85454545454545" style="15" customWidth="1"/>
    <col min="11519" max="11519" width="6" style="15" customWidth="1"/>
    <col min="11520" max="11520" width="10.7090909090909" style="15" customWidth="1"/>
    <col min="11521" max="11521" width="12.7090909090909" style="15" customWidth="1"/>
    <col min="11522" max="11522" width="9" style="15" hidden="1" customWidth="1"/>
    <col min="11523" max="11523" width="6.70909090909091" style="15" customWidth="1"/>
    <col min="11524" max="11524" width="8.70909090909091" style="15"/>
    <col min="11525" max="11525" width="8.28181818181818" style="15" customWidth="1"/>
    <col min="11526" max="11527" width="9" style="15" hidden="1" customWidth="1"/>
    <col min="11528" max="11529" width="6.70909090909091" style="15" customWidth="1"/>
    <col min="11530" max="11530" width="6" style="15" customWidth="1"/>
    <col min="11531" max="11531" width="10.7090909090909" style="15" customWidth="1"/>
    <col min="11532" max="11532" width="12.7090909090909" style="15" customWidth="1"/>
    <col min="11533" max="11534" width="9" style="15" hidden="1" customWidth="1"/>
    <col min="11535" max="11535" width="6.70909090909091" style="15" customWidth="1"/>
    <col min="11536" max="11536" width="4.42727272727273" style="15" customWidth="1"/>
    <col min="11537" max="11537" width="6.13636363636364" style="15" customWidth="1"/>
    <col min="11538" max="11538" width="5.57272727272727" style="15" customWidth="1"/>
    <col min="11539" max="11539" width="8" style="15" customWidth="1"/>
    <col min="11540" max="11540" width="10.7090909090909" style="15" customWidth="1"/>
    <col min="11541" max="11541" width="8.70909090909091" style="15" customWidth="1"/>
    <col min="11542" max="11542" width="10.1363636363636" style="15" customWidth="1"/>
    <col min="11543" max="11543" width="7.42727272727273" style="15" customWidth="1"/>
    <col min="11544" max="11544" width="8.42727272727273" style="15" customWidth="1"/>
    <col min="11545" max="11545" width="8.13636363636364" style="15" customWidth="1"/>
    <col min="11546" max="11546" width="9.42727272727273" style="15" customWidth="1"/>
    <col min="11547" max="11547" width="12" style="15" customWidth="1"/>
    <col min="11548" max="11548" width="8.70909090909091" style="15"/>
    <col min="11549" max="11549" width="9.85454545454546" style="15" customWidth="1"/>
    <col min="11550" max="11550" width="9.70909090909091" style="15" customWidth="1"/>
    <col min="11551" max="11551" width="8.42727272727273" style="15" customWidth="1"/>
    <col min="11552" max="11764" width="8.70909090909091" style="15"/>
    <col min="11765" max="11765" width="5.57272727272727" style="15" customWidth="1"/>
    <col min="11766" max="11768" width="9" style="15" hidden="1" customWidth="1"/>
    <col min="11769" max="11769" width="20.1363636363636" style="15" customWidth="1"/>
    <col min="11770" max="11770" width="10.2818181818182" style="15" customWidth="1"/>
    <col min="11771" max="11771" width="8.57272727272727" style="15" customWidth="1"/>
    <col min="11772" max="11772" width="11.2818181818182" style="15" customWidth="1"/>
    <col min="11773" max="11773" width="6.42727272727273" style="15" customWidth="1"/>
    <col min="11774" max="11774" width="5.85454545454545" style="15" customWidth="1"/>
    <col min="11775" max="11775" width="6" style="15" customWidth="1"/>
    <col min="11776" max="11776" width="10.7090909090909" style="15" customWidth="1"/>
    <col min="11777" max="11777" width="12.7090909090909" style="15" customWidth="1"/>
    <col min="11778" max="11778" width="9" style="15" hidden="1" customWidth="1"/>
    <col min="11779" max="11779" width="6.70909090909091" style="15" customWidth="1"/>
    <col min="11780" max="11780" width="8.70909090909091" style="15"/>
    <col min="11781" max="11781" width="8.28181818181818" style="15" customWidth="1"/>
    <col min="11782" max="11783" width="9" style="15" hidden="1" customWidth="1"/>
    <col min="11784" max="11785" width="6.70909090909091" style="15" customWidth="1"/>
    <col min="11786" max="11786" width="6" style="15" customWidth="1"/>
    <col min="11787" max="11787" width="10.7090909090909" style="15" customWidth="1"/>
    <col min="11788" max="11788" width="12.7090909090909" style="15" customWidth="1"/>
    <col min="11789" max="11790" width="9" style="15" hidden="1" customWidth="1"/>
    <col min="11791" max="11791" width="6.70909090909091" style="15" customWidth="1"/>
    <col min="11792" max="11792" width="4.42727272727273" style="15" customWidth="1"/>
    <col min="11793" max="11793" width="6.13636363636364" style="15" customWidth="1"/>
    <col min="11794" max="11794" width="5.57272727272727" style="15" customWidth="1"/>
    <col min="11795" max="11795" width="8" style="15" customWidth="1"/>
    <col min="11796" max="11796" width="10.7090909090909" style="15" customWidth="1"/>
    <col min="11797" max="11797" width="8.70909090909091" style="15" customWidth="1"/>
    <col min="11798" max="11798" width="10.1363636363636" style="15" customWidth="1"/>
    <col min="11799" max="11799" width="7.42727272727273" style="15" customWidth="1"/>
    <col min="11800" max="11800" width="8.42727272727273" style="15" customWidth="1"/>
    <col min="11801" max="11801" width="8.13636363636364" style="15" customWidth="1"/>
    <col min="11802" max="11802" width="9.42727272727273" style="15" customWidth="1"/>
    <col min="11803" max="11803" width="12" style="15" customWidth="1"/>
    <col min="11804" max="11804" width="8.70909090909091" style="15"/>
    <col min="11805" max="11805" width="9.85454545454546" style="15" customWidth="1"/>
    <col min="11806" max="11806" width="9.70909090909091" style="15" customWidth="1"/>
    <col min="11807" max="11807" width="8.42727272727273" style="15" customWidth="1"/>
    <col min="11808" max="12020" width="8.70909090909091" style="15"/>
    <col min="12021" max="12021" width="5.57272727272727" style="15" customWidth="1"/>
    <col min="12022" max="12024" width="9" style="15" hidden="1" customWidth="1"/>
    <col min="12025" max="12025" width="20.1363636363636" style="15" customWidth="1"/>
    <col min="12026" max="12026" width="10.2818181818182" style="15" customWidth="1"/>
    <col min="12027" max="12027" width="8.57272727272727" style="15" customWidth="1"/>
    <col min="12028" max="12028" width="11.2818181818182" style="15" customWidth="1"/>
    <col min="12029" max="12029" width="6.42727272727273" style="15" customWidth="1"/>
    <col min="12030" max="12030" width="5.85454545454545" style="15" customWidth="1"/>
    <col min="12031" max="12031" width="6" style="15" customWidth="1"/>
    <col min="12032" max="12032" width="10.7090909090909" style="15" customWidth="1"/>
    <col min="12033" max="12033" width="12.7090909090909" style="15" customWidth="1"/>
    <col min="12034" max="12034" width="9" style="15" hidden="1" customWidth="1"/>
    <col min="12035" max="12035" width="6.70909090909091" style="15" customWidth="1"/>
    <col min="12036" max="12036" width="8.70909090909091" style="15"/>
    <col min="12037" max="12037" width="8.28181818181818" style="15" customWidth="1"/>
    <col min="12038" max="12039" width="9" style="15" hidden="1" customWidth="1"/>
    <col min="12040" max="12041" width="6.70909090909091" style="15" customWidth="1"/>
    <col min="12042" max="12042" width="6" style="15" customWidth="1"/>
    <col min="12043" max="12043" width="10.7090909090909" style="15" customWidth="1"/>
    <col min="12044" max="12044" width="12.7090909090909" style="15" customWidth="1"/>
    <col min="12045" max="12046" width="9" style="15" hidden="1" customWidth="1"/>
    <col min="12047" max="12047" width="6.70909090909091" style="15" customWidth="1"/>
    <col min="12048" max="12048" width="4.42727272727273" style="15" customWidth="1"/>
    <col min="12049" max="12049" width="6.13636363636364" style="15" customWidth="1"/>
    <col min="12050" max="12050" width="5.57272727272727" style="15" customWidth="1"/>
    <col min="12051" max="12051" width="8" style="15" customWidth="1"/>
    <col min="12052" max="12052" width="10.7090909090909" style="15" customWidth="1"/>
    <col min="12053" max="12053" width="8.70909090909091" style="15" customWidth="1"/>
    <col min="12054" max="12054" width="10.1363636363636" style="15" customWidth="1"/>
    <col min="12055" max="12055" width="7.42727272727273" style="15" customWidth="1"/>
    <col min="12056" max="12056" width="8.42727272727273" style="15" customWidth="1"/>
    <col min="12057" max="12057" width="8.13636363636364" style="15" customWidth="1"/>
    <col min="12058" max="12058" width="9.42727272727273" style="15" customWidth="1"/>
    <col min="12059" max="12059" width="12" style="15" customWidth="1"/>
    <col min="12060" max="12060" width="8.70909090909091" style="15"/>
    <col min="12061" max="12061" width="9.85454545454546" style="15" customWidth="1"/>
    <col min="12062" max="12062" width="9.70909090909091" style="15" customWidth="1"/>
    <col min="12063" max="12063" width="8.42727272727273" style="15" customWidth="1"/>
    <col min="12064" max="12276" width="8.70909090909091" style="15"/>
    <col min="12277" max="12277" width="5.57272727272727" style="15" customWidth="1"/>
    <col min="12278" max="12280" width="9" style="15" hidden="1" customWidth="1"/>
    <col min="12281" max="12281" width="20.1363636363636" style="15" customWidth="1"/>
    <col min="12282" max="12282" width="10.2818181818182" style="15" customWidth="1"/>
    <col min="12283" max="12283" width="8.57272727272727" style="15" customWidth="1"/>
    <col min="12284" max="12284" width="11.2818181818182" style="15" customWidth="1"/>
    <col min="12285" max="12285" width="6.42727272727273" style="15" customWidth="1"/>
    <col min="12286" max="12286" width="5.85454545454545" style="15" customWidth="1"/>
    <col min="12287" max="12287" width="6" style="15" customWidth="1"/>
    <col min="12288" max="12288" width="10.7090909090909" style="15" customWidth="1"/>
    <col min="12289" max="12289" width="12.7090909090909" style="15" customWidth="1"/>
    <col min="12290" max="12290" width="9" style="15" hidden="1" customWidth="1"/>
    <col min="12291" max="12291" width="6.70909090909091" style="15" customWidth="1"/>
    <col min="12292" max="12292" width="8.70909090909091" style="15"/>
    <col min="12293" max="12293" width="8.28181818181818" style="15" customWidth="1"/>
    <col min="12294" max="12295" width="9" style="15" hidden="1" customWidth="1"/>
    <col min="12296" max="12297" width="6.70909090909091" style="15" customWidth="1"/>
    <col min="12298" max="12298" width="6" style="15" customWidth="1"/>
    <col min="12299" max="12299" width="10.7090909090909" style="15" customWidth="1"/>
    <col min="12300" max="12300" width="12.7090909090909" style="15" customWidth="1"/>
    <col min="12301" max="12302" width="9" style="15" hidden="1" customWidth="1"/>
    <col min="12303" max="12303" width="6.70909090909091" style="15" customWidth="1"/>
    <col min="12304" max="12304" width="4.42727272727273" style="15" customWidth="1"/>
    <col min="12305" max="12305" width="6.13636363636364" style="15" customWidth="1"/>
    <col min="12306" max="12306" width="5.57272727272727" style="15" customWidth="1"/>
    <col min="12307" max="12307" width="8" style="15" customWidth="1"/>
    <col min="12308" max="12308" width="10.7090909090909" style="15" customWidth="1"/>
    <col min="12309" max="12309" width="8.70909090909091" style="15" customWidth="1"/>
    <col min="12310" max="12310" width="10.1363636363636" style="15" customWidth="1"/>
    <col min="12311" max="12311" width="7.42727272727273" style="15" customWidth="1"/>
    <col min="12312" max="12312" width="8.42727272727273" style="15" customWidth="1"/>
    <col min="12313" max="12313" width="8.13636363636364" style="15" customWidth="1"/>
    <col min="12314" max="12314" width="9.42727272727273" style="15" customWidth="1"/>
    <col min="12315" max="12315" width="12" style="15" customWidth="1"/>
    <col min="12316" max="12316" width="8.70909090909091" style="15"/>
    <col min="12317" max="12317" width="9.85454545454546" style="15" customWidth="1"/>
    <col min="12318" max="12318" width="9.70909090909091" style="15" customWidth="1"/>
    <col min="12319" max="12319" width="8.42727272727273" style="15" customWidth="1"/>
    <col min="12320" max="12532" width="8.70909090909091" style="15"/>
    <col min="12533" max="12533" width="5.57272727272727" style="15" customWidth="1"/>
    <col min="12534" max="12536" width="9" style="15" hidden="1" customWidth="1"/>
    <col min="12537" max="12537" width="20.1363636363636" style="15" customWidth="1"/>
    <col min="12538" max="12538" width="10.2818181818182" style="15" customWidth="1"/>
    <col min="12539" max="12539" width="8.57272727272727" style="15" customWidth="1"/>
    <col min="12540" max="12540" width="11.2818181818182" style="15" customWidth="1"/>
    <col min="12541" max="12541" width="6.42727272727273" style="15" customWidth="1"/>
    <col min="12542" max="12542" width="5.85454545454545" style="15" customWidth="1"/>
    <col min="12543" max="12543" width="6" style="15" customWidth="1"/>
    <col min="12544" max="12544" width="10.7090909090909" style="15" customWidth="1"/>
    <col min="12545" max="12545" width="12.7090909090909" style="15" customWidth="1"/>
    <col min="12546" max="12546" width="9" style="15" hidden="1" customWidth="1"/>
    <col min="12547" max="12547" width="6.70909090909091" style="15" customWidth="1"/>
    <col min="12548" max="12548" width="8.70909090909091" style="15"/>
    <col min="12549" max="12549" width="8.28181818181818" style="15" customWidth="1"/>
    <col min="12550" max="12551" width="9" style="15" hidden="1" customWidth="1"/>
    <col min="12552" max="12553" width="6.70909090909091" style="15" customWidth="1"/>
    <col min="12554" max="12554" width="6" style="15" customWidth="1"/>
    <col min="12555" max="12555" width="10.7090909090909" style="15" customWidth="1"/>
    <col min="12556" max="12556" width="12.7090909090909" style="15" customWidth="1"/>
    <col min="12557" max="12558" width="9" style="15" hidden="1" customWidth="1"/>
    <col min="12559" max="12559" width="6.70909090909091" style="15" customWidth="1"/>
    <col min="12560" max="12560" width="4.42727272727273" style="15" customWidth="1"/>
    <col min="12561" max="12561" width="6.13636363636364" style="15" customWidth="1"/>
    <col min="12562" max="12562" width="5.57272727272727" style="15" customWidth="1"/>
    <col min="12563" max="12563" width="8" style="15" customWidth="1"/>
    <col min="12564" max="12564" width="10.7090909090909" style="15" customWidth="1"/>
    <col min="12565" max="12565" width="8.70909090909091" style="15" customWidth="1"/>
    <col min="12566" max="12566" width="10.1363636363636" style="15" customWidth="1"/>
    <col min="12567" max="12567" width="7.42727272727273" style="15" customWidth="1"/>
    <col min="12568" max="12568" width="8.42727272727273" style="15" customWidth="1"/>
    <col min="12569" max="12569" width="8.13636363636364" style="15" customWidth="1"/>
    <col min="12570" max="12570" width="9.42727272727273" style="15" customWidth="1"/>
    <col min="12571" max="12571" width="12" style="15" customWidth="1"/>
    <col min="12572" max="12572" width="8.70909090909091" style="15"/>
    <col min="12573" max="12573" width="9.85454545454546" style="15" customWidth="1"/>
    <col min="12574" max="12574" width="9.70909090909091" style="15" customWidth="1"/>
    <col min="12575" max="12575" width="8.42727272727273" style="15" customWidth="1"/>
    <col min="12576" max="12788" width="8.70909090909091" style="15"/>
    <col min="12789" max="12789" width="5.57272727272727" style="15" customWidth="1"/>
    <col min="12790" max="12792" width="9" style="15" hidden="1" customWidth="1"/>
    <col min="12793" max="12793" width="20.1363636363636" style="15" customWidth="1"/>
    <col min="12794" max="12794" width="10.2818181818182" style="15" customWidth="1"/>
    <col min="12795" max="12795" width="8.57272727272727" style="15" customWidth="1"/>
    <col min="12796" max="12796" width="11.2818181818182" style="15" customWidth="1"/>
    <col min="12797" max="12797" width="6.42727272727273" style="15" customWidth="1"/>
    <col min="12798" max="12798" width="5.85454545454545" style="15" customWidth="1"/>
    <col min="12799" max="12799" width="6" style="15" customWidth="1"/>
    <col min="12800" max="12800" width="10.7090909090909" style="15" customWidth="1"/>
    <col min="12801" max="12801" width="12.7090909090909" style="15" customWidth="1"/>
    <col min="12802" max="12802" width="9" style="15" hidden="1" customWidth="1"/>
    <col min="12803" max="12803" width="6.70909090909091" style="15" customWidth="1"/>
    <col min="12804" max="12804" width="8.70909090909091" style="15"/>
    <col min="12805" max="12805" width="8.28181818181818" style="15" customWidth="1"/>
    <col min="12806" max="12807" width="9" style="15" hidden="1" customWidth="1"/>
    <col min="12808" max="12809" width="6.70909090909091" style="15" customWidth="1"/>
    <col min="12810" max="12810" width="6" style="15" customWidth="1"/>
    <col min="12811" max="12811" width="10.7090909090909" style="15" customWidth="1"/>
    <col min="12812" max="12812" width="12.7090909090909" style="15" customWidth="1"/>
    <col min="12813" max="12814" width="9" style="15" hidden="1" customWidth="1"/>
    <col min="12815" max="12815" width="6.70909090909091" style="15" customWidth="1"/>
    <col min="12816" max="12816" width="4.42727272727273" style="15" customWidth="1"/>
    <col min="12817" max="12817" width="6.13636363636364" style="15" customWidth="1"/>
    <col min="12818" max="12818" width="5.57272727272727" style="15" customWidth="1"/>
    <col min="12819" max="12819" width="8" style="15" customWidth="1"/>
    <col min="12820" max="12820" width="10.7090909090909" style="15" customWidth="1"/>
    <col min="12821" max="12821" width="8.70909090909091" style="15" customWidth="1"/>
    <col min="12822" max="12822" width="10.1363636363636" style="15" customWidth="1"/>
    <col min="12823" max="12823" width="7.42727272727273" style="15" customWidth="1"/>
    <col min="12824" max="12824" width="8.42727272727273" style="15" customWidth="1"/>
    <col min="12825" max="12825" width="8.13636363636364" style="15" customWidth="1"/>
    <col min="12826" max="12826" width="9.42727272727273" style="15" customWidth="1"/>
    <col min="12827" max="12827" width="12" style="15" customWidth="1"/>
    <col min="12828" max="12828" width="8.70909090909091" style="15"/>
    <col min="12829" max="12829" width="9.85454545454546" style="15" customWidth="1"/>
    <col min="12830" max="12830" width="9.70909090909091" style="15" customWidth="1"/>
    <col min="12831" max="12831" width="8.42727272727273" style="15" customWidth="1"/>
    <col min="12832" max="13044" width="8.70909090909091" style="15"/>
    <col min="13045" max="13045" width="5.57272727272727" style="15" customWidth="1"/>
    <col min="13046" max="13048" width="9" style="15" hidden="1" customWidth="1"/>
    <col min="13049" max="13049" width="20.1363636363636" style="15" customWidth="1"/>
    <col min="13050" max="13050" width="10.2818181818182" style="15" customWidth="1"/>
    <col min="13051" max="13051" width="8.57272727272727" style="15" customWidth="1"/>
    <col min="13052" max="13052" width="11.2818181818182" style="15" customWidth="1"/>
    <col min="13053" max="13053" width="6.42727272727273" style="15" customWidth="1"/>
    <col min="13054" max="13054" width="5.85454545454545" style="15" customWidth="1"/>
    <col min="13055" max="13055" width="6" style="15" customWidth="1"/>
    <col min="13056" max="13056" width="10.7090909090909" style="15" customWidth="1"/>
    <col min="13057" max="13057" width="12.7090909090909" style="15" customWidth="1"/>
    <col min="13058" max="13058" width="9" style="15" hidden="1" customWidth="1"/>
    <col min="13059" max="13059" width="6.70909090909091" style="15" customWidth="1"/>
    <col min="13060" max="13060" width="8.70909090909091" style="15"/>
    <col min="13061" max="13061" width="8.28181818181818" style="15" customWidth="1"/>
    <col min="13062" max="13063" width="9" style="15" hidden="1" customWidth="1"/>
    <col min="13064" max="13065" width="6.70909090909091" style="15" customWidth="1"/>
    <col min="13066" max="13066" width="6" style="15" customWidth="1"/>
    <col min="13067" max="13067" width="10.7090909090909" style="15" customWidth="1"/>
    <col min="13068" max="13068" width="12.7090909090909" style="15" customWidth="1"/>
    <col min="13069" max="13070" width="9" style="15" hidden="1" customWidth="1"/>
    <col min="13071" max="13071" width="6.70909090909091" style="15" customWidth="1"/>
    <col min="13072" max="13072" width="4.42727272727273" style="15" customWidth="1"/>
    <col min="13073" max="13073" width="6.13636363636364" style="15" customWidth="1"/>
    <col min="13074" max="13074" width="5.57272727272727" style="15" customWidth="1"/>
    <col min="13075" max="13075" width="8" style="15" customWidth="1"/>
    <col min="13076" max="13076" width="10.7090909090909" style="15" customWidth="1"/>
    <col min="13077" max="13077" width="8.70909090909091" style="15" customWidth="1"/>
    <col min="13078" max="13078" width="10.1363636363636" style="15" customWidth="1"/>
    <col min="13079" max="13079" width="7.42727272727273" style="15" customWidth="1"/>
    <col min="13080" max="13080" width="8.42727272727273" style="15" customWidth="1"/>
    <col min="13081" max="13081" width="8.13636363636364" style="15" customWidth="1"/>
    <col min="13082" max="13082" width="9.42727272727273" style="15" customWidth="1"/>
    <col min="13083" max="13083" width="12" style="15" customWidth="1"/>
    <col min="13084" max="13084" width="8.70909090909091" style="15"/>
    <col min="13085" max="13085" width="9.85454545454546" style="15" customWidth="1"/>
    <col min="13086" max="13086" width="9.70909090909091" style="15" customWidth="1"/>
    <col min="13087" max="13087" width="8.42727272727273" style="15" customWidth="1"/>
    <col min="13088" max="13300" width="8.70909090909091" style="15"/>
    <col min="13301" max="13301" width="5.57272727272727" style="15" customWidth="1"/>
    <col min="13302" max="13304" width="9" style="15" hidden="1" customWidth="1"/>
    <col min="13305" max="13305" width="20.1363636363636" style="15" customWidth="1"/>
    <col min="13306" max="13306" width="10.2818181818182" style="15" customWidth="1"/>
    <col min="13307" max="13307" width="8.57272727272727" style="15" customWidth="1"/>
    <col min="13308" max="13308" width="11.2818181818182" style="15" customWidth="1"/>
    <col min="13309" max="13309" width="6.42727272727273" style="15" customWidth="1"/>
    <col min="13310" max="13310" width="5.85454545454545" style="15" customWidth="1"/>
    <col min="13311" max="13311" width="6" style="15" customWidth="1"/>
    <col min="13312" max="13312" width="10.7090909090909" style="15" customWidth="1"/>
    <col min="13313" max="13313" width="12.7090909090909" style="15" customWidth="1"/>
    <col min="13314" max="13314" width="9" style="15" hidden="1" customWidth="1"/>
    <col min="13315" max="13315" width="6.70909090909091" style="15" customWidth="1"/>
    <col min="13316" max="13316" width="8.70909090909091" style="15"/>
    <col min="13317" max="13317" width="8.28181818181818" style="15" customWidth="1"/>
    <col min="13318" max="13319" width="9" style="15" hidden="1" customWidth="1"/>
    <col min="13320" max="13321" width="6.70909090909091" style="15" customWidth="1"/>
    <col min="13322" max="13322" width="6" style="15" customWidth="1"/>
    <col min="13323" max="13323" width="10.7090909090909" style="15" customWidth="1"/>
    <col min="13324" max="13324" width="12.7090909090909" style="15" customWidth="1"/>
    <col min="13325" max="13326" width="9" style="15" hidden="1" customWidth="1"/>
    <col min="13327" max="13327" width="6.70909090909091" style="15" customWidth="1"/>
    <col min="13328" max="13328" width="4.42727272727273" style="15" customWidth="1"/>
    <col min="13329" max="13329" width="6.13636363636364" style="15" customWidth="1"/>
    <col min="13330" max="13330" width="5.57272727272727" style="15" customWidth="1"/>
    <col min="13331" max="13331" width="8" style="15" customWidth="1"/>
    <col min="13332" max="13332" width="10.7090909090909" style="15" customWidth="1"/>
    <col min="13333" max="13333" width="8.70909090909091" style="15" customWidth="1"/>
    <col min="13334" max="13334" width="10.1363636363636" style="15" customWidth="1"/>
    <col min="13335" max="13335" width="7.42727272727273" style="15" customWidth="1"/>
    <col min="13336" max="13336" width="8.42727272727273" style="15" customWidth="1"/>
    <col min="13337" max="13337" width="8.13636363636364" style="15" customWidth="1"/>
    <col min="13338" max="13338" width="9.42727272727273" style="15" customWidth="1"/>
    <col min="13339" max="13339" width="12" style="15" customWidth="1"/>
    <col min="13340" max="13340" width="8.70909090909091" style="15"/>
    <col min="13341" max="13341" width="9.85454545454546" style="15" customWidth="1"/>
    <col min="13342" max="13342" width="9.70909090909091" style="15" customWidth="1"/>
    <col min="13343" max="13343" width="8.42727272727273" style="15" customWidth="1"/>
    <col min="13344" max="13556" width="8.70909090909091" style="15"/>
    <col min="13557" max="13557" width="5.57272727272727" style="15" customWidth="1"/>
    <col min="13558" max="13560" width="9" style="15" hidden="1" customWidth="1"/>
    <col min="13561" max="13561" width="20.1363636363636" style="15" customWidth="1"/>
    <col min="13562" max="13562" width="10.2818181818182" style="15" customWidth="1"/>
    <col min="13563" max="13563" width="8.57272727272727" style="15" customWidth="1"/>
    <col min="13564" max="13564" width="11.2818181818182" style="15" customWidth="1"/>
    <col min="13565" max="13565" width="6.42727272727273" style="15" customWidth="1"/>
    <col min="13566" max="13566" width="5.85454545454545" style="15" customWidth="1"/>
    <col min="13567" max="13567" width="6" style="15" customWidth="1"/>
    <col min="13568" max="13568" width="10.7090909090909" style="15" customWidth="1"/>
    <col min="13569" max="13569" width="12.7090909090909" style="15" customWidth="1"/>
    <col min="13570" max="13570" width="9" style="15" hidden="1" customWidth="1"/>
    <col min="13571" max="13571" width="6.70909090909091" style="15" customWidth="1"/>
    <col min="13572" max="13572" width="8.70909090909091" style="15"/>
    <col min="13573" max="13573" width="8.28181818181818" style="15" customWidth="1"/>
    <col min="13574" max="13575" width="9" style="15" hidden="1" customWidth="1"/>
    <col min="13576" max="13577" width="6.70909090909091" style="15" customWidth="1"/>
    <col min="13578" max="13578" width="6" style="15" customWidth="1"/>
    <col min="13579" max="13579" width="10.7090909090909" style="15" customWidth="1"/>
    <col min="13580" max="13580" width="12.7090909090909" style="15" customWidth="1"/>
    <col min="13581" max="13582" width="9" style="15" hidden="1" customWidth="1"/>
    <col min="13583" max="13583" width="6.70909090909091" style="15" customWidth="1"/>
    <col min="13584" max="13584" width="4.42727272727273" style="15" customWidth="1"/>
    <col min="13585" max="13585" width="6.13636363636364" style="15" customWidth="1"/>
    <col min="13586" max="13586" width="5.57272727272727" style="15" customWidth="1"/>
    <col min="13587" max="13587" width="8" style="15" customWidth="1"/>
    <col min="13588" max="13588" width="10.7090909090909" style="15" customWidth="1"/>
    <col min="13589" max="13589" width="8.70909090909091" style="15" customWidth="1"/>
    <col min="13590" max="13590" width="10.1363636363636" style="15" customWidth="1"/>
    <col min="13591" max="13591" width="7.42727272727273" style="15" customWidth="1"/>
    <col min="13592" max="13592" width="8.42727272727273" style="15" customWidth="1"/>
    <col min="13593" max="13593" width="8.13636363636364" style="15" customWidth="1"/>
    <col min="13594" max="13594" width="9.42727272727273" style="15" customWidth="1"/>
    <col min="13595" max="13595" width="12" style="15" customWidth="1"/>
    <col min="13596" max="13596" width="8.70909090909091" style="15"/>
    <col min="13597" max="13597" width="9.85454545454546" style="15" customWidth="1"/>
    <col min="13598" max="13598" width="9.70909090909091" style="15" customWidth="1"/>
    <col min="13599" max="13599" width="8.42727272727273" style="15" customWidth="1"/>
    <col min="13600" max="13812" width="8.70909090909091" style="15"/>
    <col min="13813" max="13813" width="5.57272727272727" style="15" customWidth="1"/>
    <col min="13814" max="13816" width="9" style="15" hidden="1" customWidth="1"/>
    <col min="13817" max="13817" width="20.1363636363636" style="15" customWidth="1"/>
    <col min="13818" max="13818" width="10.2818181818182" style="15" customWidth="1"/>
    <col min="13819" max="13819" width="8.57272727272727" style="15" customWidth="1"/>
    <col min="13820" max="13820" width="11.2818181818182" style="15" customWidth="1"/>
    <col min="13821" max="13821" width="6.42727272727273" style="15" customWidth="1"/>
    <col min="13822" max="13822" width="5.85454545454545" style="15" customWidth="1"/>
    <col min="13823" max="13823" width="6" style="15" customWidth="1"/>
    <col min="13824" max="13824" width="10.7090909090909" style="15" customWidth="1"/>
    <col min="13825" max="13825" width="12.7090909090909" style="15" customWidth="1"/>
    <col min="13826" max="13826" width="9" style="15" hidden="1" customWidth="1"/>
    <col min="13827" max="13827" width="6.70909090909091" style="15" customWidth="1"/>
    <col min="13828" max="13828" width="8.70909090909091" style="15"/>
    <col min="13829" max="13829" width="8.28181818181818" style="15" customWidth="1"/>
    <col min="13830" max="13831" width="9" style="15" hidden="1" customWidth="1"/>
    <col min="13832" max="13833" width="6.70909090909091" style="15" customWidth="1"/>
    <col min="13834" max="13834" width="6" style="15" customWidth="1"/>
    <col min="13835" max="13835" width="10.7090909090909" style="15" customWidth="1"/>
    <col min="13836" max="13836" width="12.7090909090909" style="15" customWidth="1"/>
    <col min="13837" max="13838" width="9" style="15" hidden="1" customWidth="1"/>
    <col min="13839" max="13839" width="6.70909090909091" style="15" customWidth="1"/>
    <col min="13840" max="13840" width="4.42727272727273" style="15" customWidth="1"/>
    <col min="13841" max="13841" width="6.13636363636364" style="15" customWidth="1"/>
    <col min="13842" max="13842" width="5.57272727272727" style="15" customWidth="1"/>
    <col min="13843" max="13843" width="8" style="15" customWidth="1"/>
    <col min="13844" max="13844" width="10.7090909090909" style="15" customWidth="1"/>
    <col min="13845" max="13845" width="8.70909090909091" style="15" customWidth="1"/>
    <col min="13846" max="13846" width="10.1363636363636" style="15" customWidth="1"/>
    <col min="13847" max="13847" width="7.42727272727273" style="15" customWidth="1"/>
    <col min="13848" max="13848" width="8.42727272727273" style="15" customWidth="1"/>
    <col min="13849" max="13849" width="8.13636363636364" style="15" customWidth="1"/>
    <col min="13850" max="13850" width="9.42727272727273" style="15" customWidth="1"/>
    <col min="13851" max="13851" width="12" style="15" customWidth="1"/>
    <col min="13852" max="13852" width="8.70909090909091" style="15"/>
    <col min="13853" max="13853" width="9.85454545454546" style="15" customWidth="1"/>
    <col min="13854" max="13854" width="9.70909090909091" style="15" customWidth="1"/>
    <col min="13855" max="13855" width="8.42727272727273" style="15" customWidth="1"/>
    <col min="13856" max="14068" width="8.70909090909091" style="15"/>
    <col min="14069" max="14069" width="5.57272727272727" style="15" customWidth="1"/>
    <col min="14070" max="14072" width="9" style="15" hidden="1" customWidth="1"/>
    <col min="14073" max="14073" width="20.1363636363636" style="15" customWidth="1"/>
    <col min="14074" max="14074" width="10.2818181818182" style="15" customWidth="1"/>
    <col min="14075" max="14075" width="8.57272727272727" style="15" customWidth="1"/>
    <col min="14076" max="14076" width="11.2818181818182" style="15" customWidth="1"/>
    <col min="14077" max="14077" width="6.42727272727273" style="15" customWidth="1"/>
    <col min="14078" max="14078" width="5.85454545454545" style="15" customWidth="1"/>
    <col min="14079" max="14079" width="6" style="15" customWidth="1"/>
    <col min="14080" max="14080" width="10.7090909090909" style="15" customWidth="1"/>
    <col min="14081" max="14081" width="12.7090909090909" style="15" customWidth="1"/>
    <col min="14082" max="14082" width="9" style="15" hidden="1" customWidth="1"/>
    <col min="14083" max="14083" width="6.70909090909091" style="15" customWidth="1"/>
    <col min="14084" max="14084" width="8.70909090909091" style="15"/>
    <col min="14085" max="14085" width="8.28181818181818" style="15" customWidth="1"/>
    <col min="14086" max="14087" width="9" style="15" hidden="1" customWidth="1"/>
    <col min="14088" max="14089" width="6.70909090909091" style="15" customWidth="1"/>
    <col min="14090" max="14090" width="6" style="15" customWidth="1"/>
    <col min="14091" max="14091" width="10.7090909090909" style="15" customWidth="1"/>
    <col min="14092" max="14092" width="12.7090909090909" style="15" customWidth="1"/>
    <col min="14093" max="14094" width="9" style="15" hidden="1" customWidth="1"/>
    <col min="14095" max="14095" width="6.70909090909091" style="15" customWidth="1"/>
    <col min="14096" max="14096" width="4.42727272727273" style="15" customWidth="1"/>
    <col min="14097" max="14097" width="6.13636363636364" style="15" customWidth="1"/>
    <col min="14098" max="14098" width="5.57272727272727" style="15" customWidth="1"/>
    <col min="14099" max="14099" width="8" style="15" customWidth="1"/>
    <col min="14100" max="14100" width="10.7090909090909" style="15" customWidth="1"/>
    <col min="14101" max="14101" width="8.70909090909091" style="15" customWidth="1"/>
    <col min="14102" max="14102" width="10.1363636363636" style="15" customWidth="1"/>
    <col min="14103" max="14103" width="7.42727272727273" style="15" customWidth="1"/>
    <col min="14104" max="14104" width="8.42727272727273" style="15" customWidth="1"/>
    <col min="14105" max="14105" width="8.13636363636364" style="15" customWidth="1"/>
    <col min="14106" max="14106" width="9.42727272727273" style="15" customWidth="1"/>
    <col min="14107" max="14107" width="12" style="15" customWidth="1"/>
    <col min="14108" max="14108" width="8.70909090909091" style="15"/>
    <col min="14109" max="14109" width="9.85454545454546" style="15" customWidth="1"/>
    <col min="14110" max="14110" width="9.70909090909091" style="15" customWidth="1"/>
    <col min="14111" max="14111" width="8.42727272727273" style="15" customWidth="1"/>
    <col min="14112" max="14324" width="8.70909090909091" style="15"/>
    <col min="14325" max="14325" width="5.57272727272727" style="15" customWidth="1"/>
    <col min="14326" max="14328" width="9" style="15" hidden="1" customWidth="1"/>
    <col min="14329" max="14329" width="20.1363636363636" style="15" customWidth="1"/>
    <col min="14330" max="14330" width="10.2818181818182" style="15" customWidth="1"/>
    <col min="14331" max="14331" width="8.57272727272727" style="15" customWidth="1"/>
    <col min="14332" max="14332" width="11.2818181818182" style="15" customWidth="1"/>
    <col min="14333" max="14333" width="6.42727272727273" style="15" customWidth="1"/>
    <col min="14334" max="14334" width="5.85454545454545" style="15" customWidth="1"/>
    <col min="14335" max="14335" width="6" style="15" customWidth="1"/>
    <col min="14336" max="14336" width="10.7090909090909" style="15" customWidth="1"/>
    <col min="14337" max="14337" width="12.7090909090909" style="15" customWidth="1"/>
    <col min="14338" max="14338" width="9" style="15" hidden="1" customWidth="1"/>
    <col min="14339" max="14339" width="6.70909090909091" style="15" customWidth="1"/>
    <col min="14340" max="14340" width="8.70909090909091" style="15"/>
    <col min="14341" max="14341" width="8.28181818181818" style="15" customWidth="1"/>
    <col min="14342" max="14343" width="9" style="15" hidden="1" customWidth="1"/>
    <col min="14344" max="14345" width="6.70909090909091" style="15" customWidth="1"/>
    <col min="14346" max="14346" width="6" style="15" customWidth="1"/>
    <col min="14347" max="14347" width="10.7090909090909" style="15" customWidth="1"/>
    <col min="14348" max="14348" width="12.7090909090909" style="15" customWidth="1"/>
    <col min="14349" max="14350" width="9" style="15" hidden="1" customWidth="1"/>
    <col min="14351" max="14351" width="6.70909090909091" style="15" customWidth="1"/>
    <col min="14352" max="14352" width="4.42727272727273" style="15" customWidth="1"/>
    <col min="14353" max="14353" width="6.13636363636364" style="15" customWidth="1"/>
    <col min="14354" max="14354" width="5.57272727272727" style="15" customWidth="1"/>
    <col min="14355" max="14355" width="8" style="15" customWidth="1"/>
    <col min="14356" max="14356" width="10.7090909090909" style="15" customWidth="1"/>
    <col min="14357" max="14357" width="8.70909090909091" style="15" customWidth="1"/>
    <col min="14358" max="14358" width="10.1363636363636" style="15" customWidth="1"/>
    <col min="14359" max="14359" width="7.42727272727273" style="15" customWidth="1"/>
    <col min="14360" max="14360" width="8.42727272727273" style="15" customWidth="1"/>
    <col min="14361" max="14361" width="8.13636363636364" style="15" customWidth="1"/>
    <col min="14362" max="14362" width="9.42727272727273" style="15" customWidth="1"/>
    <col min="14363" max="14363" width="12" style="15" customWidth="1"/>
    <col min="14364" max="14364" width="8.70909090909091" style="15"/>
    <col min="14365" max="14365" width="9.85454545454546" style="15" customWidth="1"/>
    <col min="14366" max="14366" width="9.70909090909091" style="15" customWidth="1"/>
    <col min="14367" max="14367" width="8.42727272727273" style="15" customWidth="1"/>
    <col min="14368" max="14580" width="8.70909090909091" style="15"/>
    <col min="14581" max="14581" width="5.57272727272727" style="15" customWidth="1"/>
    <col min="14582" max="14584" width="9" style="15" hidden="1" customWidth="1"/>
    <col min="14585" max="14585" width="20.1363636363636" style="15" customWidth="1"/>
    <col min="14586" max="14586" width="10.2818181818182" style="15" customWidth="1"/>
    <col min="14587" max="14587" width="8.57272727272727" style="15" customWidth="1"/>
    <col min="14588" max="14588" width="11.2818181818182" style="15" customWidth="1"/>
    <col min="14589" max="14589" width="6.42727272727273" style="15" customWidth="1"/>
    <col min="14590" max="14590" width="5.85454545454545" style="15" customWidth="1"/>
    <col min="14591" max="14591" width="6" style="15" customWidth="1"/>
    <col min="14592" max="14592" width="10.7090909090909" style="15" customWidth="1"/>
    <col min="14593" max="14593" width="12.7090909090909" style="15" customWidth="1"/>
    <col min="14594" max="14594" width="9" style="15" hidden="1" customWidth="1"/>
    <col min="14595" max="14595" width="6.70909090909091" style="15" customWidth="1"/>
    <col min="14596" max="14596" width="8.70909090909091" style="15"/>
    <col min="14597" max="14597" width="8.28181818181818" style="15" customWidth="1"/>
    <col min="14598" max="14599" width="9" style="15" hidden="1" customWidth="1"/>
    <col min="14600" max="14601" width="6.70909090909091" style="15" customWidth="1"/>
    <col min="14602" max="14602" width="6" style="15" customWidth="1"/>
    <col min="14603" max="14603" width="10.7090909090909" style="15" customWidth="1"/>
    <col min="14604" max="14604" width="12.7090909090909" style="15" customWidth="1"/>
    <col min="14605" max="14606" width="9" style="15" hidden="1" customWidth="1"/>
    <col min="14607" max="14607" width="6.70909090909091" style="15" customWidth="1"/>
    <col min="14608" max="14608" width="4.42727272727273" style="15" customWidth="1"/>
    <col min="14609" max="14609" width="6.13636363636364" style="15" customWidth="1"/>
    <col min="14610" max="14610" width="5.57272727272727" style="15" customWidth="1"/>
    <col min="14611" max="14611" width="8" style="15" customWidth="1"/>
    <col min="14612" max="14612" width="10.7090909090909" style="15" customWidth="1"/>
    <col min="14613" max="14613" width="8.70909090909091" style="15" customWidth="1"/>
    <col min="14614" max="14614" width="10.1363636363636" style="15" customWidth="1"/>
    <col min="14615" max="14615" width="7.42727272727273" style="15" customWidth="1"/>
    <col min="14616" max="14616" width="8.42727272727273" style="15" customWidth="1"/>
    <col min="14617" max="14617" width="8.13636363636364" style="15" customWidth="1"/>
    <col min="14618" max="14618" width="9.42727272727273" style="15" customWidth="1"/>
    <col min="14619" max="14619" width="12" style="15" customWidth="1"/>
    <col min="14620" max="14620" width="8.70909090909091" style="15"/>
    <col min="14621" max="14621" width="9.85454545454546" style="15" customWidth="1"/>
    <col min="14622" max="14622" width="9.70909090909091" style="15" customWidth="1"/>
    <col min="14623" max="14623" width="8.42727272727273" style="15" customWidth="1"/>
    <col min="14624" max="14836" width="8.70909090909091" style="15"/>
    <col min="14837" max="14837" width="5.57272727272727" style="15" customWidth="1"/>
    <col min="14838" max="14840" width="9" style="15" hidden="1" customWidth="1"/>
    <col min="14841" max="14841" width="20.1363636363636" style="15" customWidth="1"/>
    <col min="14842" max="14842" width="10.2818181818182" style="15" customWidth="1"/>
    <col min="14843" max="14843" width="8.57272727272727" style="15" customWidth="1"/>
    <col min="14844" max="14844" width="11.2818181818182" style="15" customWidth="1"/>
    <col min="14845" max="14845" width="6.42727272727273" style="15" customWidth="1"/>
    <col min="14846" max="14846" width="5.85454545454545" style="15" customWidth="1"/>
    <col min="14847" max="14847" width="6" style="15" customWidth="1"/>
    <col min="14848" max="14848" width="10.7090909090909" style="15" customWidth="1"/>
    <col min="14849" max="14849" width="12.7090909090909" style="15" customWidth="1"/>
    <col min="14850" max="14850" width="9" style="15" hidden="1" customWidth="1"/>
    <col min="14851" max="14851" width="6.70909090909091" style="15" customWidth="1"/>
    <col min="14852" max="14852" width="8.70909090909091" style="15"/>
    <col min="14853" max="14853" width="8.28181818181818" style="15" customWidth="1"/>
    <col min="14854" max="14855" width="9" style="15" hidden="1" customWidth="1"/>
    <col min="14856" max="14857" width="6.70909090909091" style="15" customWidth="1"/>
    <col min="14858" max="14858" width="6" style="15" customWidth="1"/>
    <col min="14859" max="14859" width="10.7090909090909" style="15" customWidth="1"/>
    <col min="14860" max="14860" width="12.7090909090909" style="15" customWidth="1"/>
    <col min="14861" max="14862" width="9" style="15" hidden="1" customWidth="1"/>
    <col min="14863" max="14863" width="6.70909090909091" style="15" customWidth="1"/>
    <col min="14864" max="14864" width="4.42727272727273" style="15" customWidth="1"/>
    <col min="14865" max="14865" width="6.13636363636364" style="15" customWidth="1"/>
    <col min="14866" max="14866" width="5.57272727272727" style="15" customWidth="1"/>
    <col min="14867" max="14867" width="8" style="15" customWidth="1"/>
    <col min="14868" max="14868" width="10.7090909090909" style="15" customWidth="1"/>
    <col min="14869" max="14869" width="8.70909090909091" style="15" customWidth="1"/>
    <col min="14870" max="14870" width="10.1363636363636" style="15" customWidth="1"/>
    <col min="14871" max="14871" width="7.42727272727273" style="15" customWidth="1"/>
    <col min="14872" max="14872" width="8.42727272727273" style="15" customWidth="1"/>
    <col min="14873" max="14873" width="8.13636363636364" style="15" customWidth="1"/>
    <col min="14874" max="14874" width="9.42727272727273" style="15" customWidth="1"/>
    <col min="14875" max="14875" width="12" style="15" customWidth="1"/>
    <col min="14876" max="14876" width="8.70909090909091" style="15"/>
    <col min="14877" max="14877" width="9.85454545454546" style="15" customWidth="1"/>
    <col min="14878" max="14878" width="9.70909090909091" style="15" customWidth="1"/>
    <col min="14879" max="14879" width="8.42727272727273" style="15" customWidth="1"/>
    <col min="14880" max="15092" width="8.70909090909091" style="15"/>
    <col min="15093" max="15093" width="5.57272727272727" style="15" customWidth="1"/>
    <col min="15094" max="15096" width="9" style="15" hidden="1" customWidth="1"/>
    <col min="15097" max="15097" width="20.1363636363636" style="15" customWidth="1"/>
    <col min="15098" max="15098" width="10.2818181818182" style="15" customWidth="1"/>
    <col min="15099" max="15099" width="8.57272727272727" style="15" customWidth="1"/>
    <col min="15100" max="15100" width="11.2818181818182" style="15" customWidth="1"/>
    <col min="15101" max="15101" width="6.42727272727273" style="15" customWidth="1"/>
    <col min="15102" max="15102" width="5.85454545454545" style="15" customWidth="1"/>
    <col min="15103" max="15103" width="6" style="15" customWidth="1"/>
    <col min="15104" max="15104" width="10.7090909090909" style="15" customWidth="1"/>
    <col min="15105" max="15105" width="12.7090909090909" style="15" customWidth="1"/>
    <col min="15106" max="15106" width="9" style="15" hidden="1" customWidth="1"/>
    <col min="15107" max="15107" width="6.70909090909091" style="15" customWidth="1"/>
    <col min="15108" max="15108" width="8.70909090909091" style="15"/>
    <col min="15109" max="15109" width="8.28181818181818" style="15" customWidth="1"/>
    <col min="15110" max="15111" width="9" style="15" hidden="1" customWidth="1"/>
    <col min="15112" max="15113" width="6.70909090909091" style="15" customWidth="1"/>
    <col min="15114" max="15114" width="6" style="15" customWidth="1"/>
    <col min="15115" max="15115" width="10.7090909090909" style="15" customWidth="1"/>
    <col min="15116" max="15116" width="12.7090909090909" style="15" customWidth="1"/>
    <col min="15117" max="15118" width="9" style="15" hidden="1" customWidth="1"/>
    <col min="15119" max="15119" width="6.70909090909091" style="15" customWidth="1"/>
    <col min="15120" max="15120" width="4.42727272727273" style="15" customWidth="1"/>
    <col min="15121" max="15121" width="6.13636363636364" style="15" customWidth="1"/>
    <col min="15122" max="15122" width="5.57272727272727" style="15" customWidth="1"/>
    <col min="15123" max="15123" width="8" style="15" customWidth="1"/>
    <col min="15124" max="15124" width="10.7090909090909" style="15" customWidth="1"/>
    <col min="15125" max="15125" width="8.70909090909091" style="15" customWidth="1"/>
    <col min="15126" max="15126" width="10.1363636363636" style="15" customWidth="1"/>
    <col min="15127" max="15127" width="7.42727272727273" style="15" customWidth="1"/>
    <col min="15128" max="15128" width="8.42727272727273" style="15" customWidth="1"/>
    <col min="15129" max="15129" width="8.13636363636364" style="15" customWidth="1"/>
    <col min="15130" max="15130" width="9.42727272727273" style="15" customWidth="1"/>
    <col min="15131" max="15131" width="12" style="15" customWidth="1"/>
    <col min="15132" max="15132" width="8.70909090909091" style="15"/>
    <col min="15133" max="15133" width="9.85454545454546" style="15" customWidth="1"/>
    <col min="15134" max="15134" width="9.70909090909091" style="15" customWidth="1"/>
    <col min="15135" max="15135" width="8.42727272727273" style="15" customWidth="1"/>
    <col min="15136" max="15348" width="8.70909090909091" style="15"/>
    <col min="15349" max="15349" width="5.57272727272727" style="15" customWidth="1"/>
    <col min="15350" max="15352" width="9" style="15" hidden="1" customWidth="1"/>
    <col min="15353" max="15353" width="20.1363636363636" style="15" customWidth="1"/>
    <col min="15354" max="15354" width="10.2818181818182" style="15" customWidth="1"/>
    <col min="15355" max="15355" width="8.57272727272727" style="15" customWidth="1"/>
    <col min="15356" max="15356" width="11.2818181818182" style="15" customWidth="1"/>
    <col min="15357" max="15357" width="6.42727272727273" style="15" customWidth="1"/>
    <col min="15358" max="15358" width="5.85454545454545" style="15" customWidth="1"/>
    <col min="15359" max="15359" width="6" style="15" customWidth="1"/>
    <col min="15360" max="15360" width="10.7090909090909" style="15" customWidth="1"/>
    <col min="15361" max="15361" width="12.7090909090909" style="15" customWidth="1"/>
    <col min="15362" max="15362" width="9" style="15" hidden="1" customWidth="1"/>
    <col min="15363" max="15363" width="6.70909090909091" style="15" customWidth="1"/>
    <col min="15364" max="15364" width="8.70909090909091" style="15"/>
    <col min="15365" max="15365" width="8.28181818181818" style="15" customWidth="1"/>
    <col min="15366" max="15367" width="9" style="15" hidden="1" customWidth="1"/>
    <col min="15368" max="15369" width="6.70909090909091" style="15" customWidth="1"/>
    <col min="15370" max="15370" width="6" style="15" customWidth="1"/>
    <col min="15371" max="15371" width="10.7090909090909" style="15" customWidth="1"/>
    <col min="15372" max="15372" width="12.7090909090909" style="15" customWidth="1"/>
    <col min="15373" max="15374" width="9" style="15" hidden="1" customWidth="1"/>
    <col min="15375" max="15375" width="6.70909090909091" style="15" customWidth="1"/>
    <col min="15376" max="15376" width="4.42727272727273" style="15" customWidth="1"/>
    <col min="15377" max="15377" width="6.13636363636364" style="15" customWidth="1"/>
    <col min="15378" max="15378" width="5.57272727272727" style="15" customWidth="1"/>
    <col min="15379" max="15379" width="8" style="15" customWidth="1"/>
    <col min="15380" max="15380" width="10.7090909090909" style="15" customWidth="1"/>
    <col min="15381" max="15381" width="8.70909090909091" style="15" customWidth="1"/>
    <col min="15382" max="15382" width="10.1363636363636" style="15" customWidth="1"/>
    <col min="15383" max="15383" width="7.42727272727273" style="15" customWidth="1"/>
    <col min="15384" max="15384" width="8.42727272727273" style="15" customWidth="1"/>
    <col min="15385" max="15385" width="8.13636363636364" style="15" customWidth="1"/>
    <col min="15386" max="15386" width="9.42727272727273" style="15" customWidth="1"/>
    <col min="15387" max="15387" width="12" style="15" customWidth="1"/>
    <col min="15388" max="15388" width="8.70909090909091" style="15"/>
    <col min="15389" max="15389" width="9.85454545454546" style="15" customWidth="1"/>
    <col min="15390" max="15390" width="9.70909090909091" style="15" customWidth="1"/>
    <col min="15391" max="15391" width="8.42727272727273" style="15" customWidth="1"/>
    <col min="15392" max="15604" width="8.70909090909091" style="15"/>
    <col min="15605" max="15605" width="5.57272727272727" style="15" customWidth="1"/>
    <col min="15606" max="15608" width="9" style="15" hidden="1" customWidth="1"/>
    <col min="15609" max="15609" width="20.1363636363636" style="15" customWidth="1"/>
    <col min="15610" max="15610" width="10.2818181818182" style="15" customWidth="1"/>
    <col min="15611" max="15611" width="8.57272727272727" style="15" customWidth="1"/>
    <col min="15612" max="15612" width="11.2818181818182" style="15" customWidth="1"/>
    <col min="15613" max="15613" width="6.42727272727273" style="15" customWidth="1"/>
    <col min="15614" max="15614" width="5.85454545454545" style="15" customWidth="1"/>
    <col min="15615" max="15615" width="6" style="15" customWidth="1"/>
    <col min="15616" max="15616" width="10.7090909090909" style="15" customWidth="1"/>
    <col min="15617" max="15617" width="12.7090909090909" style="15" customWidth="1"/>
    <col min="15618" max="15618" width="9" style="15" hidden="1" customWidth="1"/>
    <col min="15619" max="15619" width="6.70909090909091" style="15" customWidth="1"/>
    <col min="15620" max="15620" width="8.70909090909091" style="15"/>
    <col min="15621" max="15621" width="8.28181818181818" style="15" customWidth="1"/>
    <col min="15622" max="15623" width="9" style="15" hidden="1" customWidth="1"/>
    <col min="15624" max="15625" width="6.70909090909091" style="15" customWidth="1"/>
    <col min="15626" max="15626" width="6" style="15" customWidth="1"/>
    <col min="15627" max="15627" width="10.7090909090909" style="15" customWidth="1"/>
    <col min="15628" max="15628" width="12.7090909090909" style="15" customWidth="1"/>
    <col min="15629" max="15630" width="9" style="15" hidden="1" customWidth="1"/>
    <col min="15631" max="15631" width="6.70909090909091" style="15" customWidth="1"/>
    <col min="15632" max="15632" width="4.42727272727273" style="15" customWidth="1"/>
    <col min="15633" max="15633" width="6.13636363636364" style="15" customWidth="1"/>
    <col min="15634" max="15634" width="5.57272727272727" style="15" customWidth="1"/>
    <col min="15635" max="15635" width="8" style="15" customWidth="1"/>
    <col min="15636" max="15636" width="10.7090909090909" style="15" customWidth="1"/>
    <col min="15637" max="15637" width="8.70909090909091" style="15" customWidth="1"/>
    <col min="15638" max="15638" width="10.1363636363636" style="15" customWidth="1"/>
    <col min="15639" max="15639" width="7.42727272727273" style="15" customWidth="1"/>
    <col min="15640" max="15640" width="8.42727272727273" style="15" customWidth="1"/>
    <col min="15641" max="15641" width="8.13636363636364" style="15" customWidth="1"/>
    <col min="15642" max="15642" width="9.42727272727273" style="15" customWidth="1"/>
    <col min="15643" max="15643" width="12" style="15" customWidth="1"/>
    <col min="15644" max="15644" width="8.70909090909091" style="15"/>
    <col min="15645" max="15645" width="9.85454545454546" style="15" customWidth="1"/>
    <col min="15646" max="15646" width="9.70909090909091" style="15" customWidth="1"/>
    <col min="15647" max="15647" width="8.42727272727273" style="15" customWidth="1"/>
    <col min="15648" max="15860" width="8.70909090909091" style="15"/>
    <col min="15861" max="15861" width="5.57272727272727" style="15" customWidth="1"/>
    <col min="15862" max="15864" width="9" style="15" hidden="1" customWidth="1"/>
    <col min="15865" max="15865" width="20.1363636363636" style="15" customWidth="1"/>
    <col min="15866" max="15866" width="10.2818181818182" style="15" customWidth="1"/>
    <col min="15867" max="15867" width="8.57272727272727" style="15" customWidth="1"/>
    <col min="15868" max="15868" width="11.2818181818182" style="15" customWidth="1"/>
    <col min="15869" max="15869" width="6.42727272727273" style="15" customWidth="1"/>
    <col min="15870" max="15870" width="5.85454545454545" style="15" customWidth="1"/>
    <col min="15871" max="15871" width="6" style="15" customWidth="1"/>
    <col min="15872" max="15872" width="10.7090909090909" style="15" customWidth="1"/>
    <col min="15873" max="15873" width="12.7090909090909" style="15" customWidth="1"/>
    <col min="15874" max="15874" width="9" style="15" hidden="1" customWidth="1"/>
    <col min="15875" max="15875" width="6.70909090909091" style="15" customWidth="1"/>
    <col min="15876" max="15876" width="8.70909090909091" style="15"/>
    <col min="15877" max="15877" width="8.28181818181818" style="15" customWidth="1"/>
    <col min="15878" max="15879" width="9" style="15" hidden="1" customWidth="1"/>
    <col min="15880" max="15881" width="6.70909090909091" style="15" customWidth="1"/>
    <col min="15882" max="15882" width="6" style="15" customWidth="1"/>
    <col min="15883" max="15883" width="10.7090909090909" style="15" customWidth="1"/>
    <col min="15884" max="15884" width="12.7090909090909" style="15" customWidth="1"/>
    <col min="15885" max="15886" width="9" style="15" hidden="1" customWidth="1"/>
    <col min="15887" max="15887" width="6.70909090909091" style="15" customWidth="1"/>
    <col min="15888" max="15888" width="4.42727272727273" style="15" customWidth="1"/>
    <col min="15889" max="15889" width="6.13636363636364" style="15" customWidth="1"/>
    <col min="15890" max="15890" width="5.57272727272727" style="15" customWidth="1"/>
    <col min="15891" max="15891" width="8" style="15" customWidth="1"/>
    <col min="15892" max="15892" width="10.7090909090909" style="15" customWidth="1"/>
    <col min="15893" max="15893" width="8.70909090909091" style="15" customWidth="1"/>
    <col min="15894" max="15894" width="10.1363636363636" style="15" customWidth="1"/>
    <col min="15895" max="15895" width="7.42727272727273" style="15" customWidth="1"/>
    <col min="15896" max="15896" width="8.42727272727273" style="15" customWidth="1"/>
    <col min="15897" max="15897" width="8.13636363636364" style="15" customWidth="1"/>
    <col min="15898" max="15898" width="9.42727272727273" style="15" customWidth="1"/>
    <col min="15899" max="15899" width="12" style="15" customWidth="1"/>
    <col min="15900" max="15900" width="8.70909090909091" style="15"/>
    <col min="15901" max="15901" width="9.85454545454546" style="15" customWidth="1"/>
    <col min="15902" max="15902" width="9.70909090909091" style="15" customWidth="1"/>
    <col min="15903" max="15903" width="8.42727272727273" style="15" customWidth="1"/>
    <col min="15904" max="16116" width="8.70909090909091" style="15"/>
    <col min="16117" max="16117" width="5.57272727272727" style="15" customWidth="1"/>
    <col min="16118" max="16120" width="9" style="15" hidden="1" customWidth="1"/>
    <col min="16121" max="16121" width="20.1363636363636" style="15" customWidth="1"/>
    <col min="16122" max="16122" width="10.2818181818182" style="15" customWidth="1"/>
    <col min="16123" max="16123" width="8.57272727272727" style="15" customWidth="1"/>
    <col min="16124" max="16124" width="11.2818181818182" style="15" customWidth="1"/>
    <col min="16125" max="16125" width="6.42727272727273" style="15" customWidth="1"/>
    <col min="16126" max="16126" width="5.85454545454545" style="15" customWidth="1"/>
    <col min="16127" max="16127" width="6" style="15" customWidth="1"/>
    <col min="16128" max="16128" width="10.7090909090909" style="15" customWidth="1"/>
    <col min="16129" max="16129" width="12.7090909090909" style="15" customWidth="1"/>
    <col min="16130" max="16130" width="9" style="15" hidden="1" customWidth="1"/>
    <col min="16131" max="16131" width="6.70909090909091" style="15" customWidth="1"/>
    <col min="16132" max="16132" width="8.70909090909091" style="15"/>
    <col min="16133" max="16133" width="8.28181818181818" style="15" customWidth="1"/>
    <col min="16134" max="16135" width="9" style="15" hidden="1" customWidth="1"/>
    <col min="16136" max="16137" width="6.70909090909091" style="15" customWidth="1"/>
    <col min="16138" max="16138" width="6" style="15" customWidth="1"/>
    <col min="16139" max="16139" width="10.7090909090909" style="15" customWidth="1"/>
    <col min="16140" max="16140" width="12.7090909090909" style="15" customWidth="1"/>
    <col min="16141" max="16142" width="9" style="15" hidden="1" customWidth="1"/>
    <col min="16143" max="16143" width="6.70909090909091" style="15" customWidth="1"/>
    <col min="16144" max="16144" width="4.42727272727273" style="15" customWidth="1"/>
    <col min="16145" max="16145" width="6.13636363636364" style="15" customWidth="1"/>
    <col min="16146" max="16146" width="5.57272727272727" style="15" customWidth="1"/>
    <col min="16147" max="16147" width="8" style="15" customWidth="1"/>
    <col min="16148" max="16148" width="10.7090909090909" style="15" customWidth="1"/>
    <col min="16149" max="16149" width="8.70909090909091" style="15" customWidth="1"/>
    <col min="16150" max="16150" width="10.1363636363636" style="15" customWidth="1"/>
    <col min="16151" max="16151" width="7.42727272727273" style="15" customWidth="1"/>
    <col min="16152" max="16152" width="8.42727272727273" style="15" customWidth="1"/>
    <col min="16153" max="16153" width="8.13636363636364" style="15" customWidth="1"/>
    <col min="16154" max="16154" width="9.42727272727273" style="15" customWidth="1"/>
    <col min="16155" max="16155" width="12" style="15" customWidth="1"/>
    <col min="16156" max="16156" width="8.70909090909091" style="15"/>
    <col min="16157" max="16157" width="9.85454545454546" style="15" customWidth="1"/>
    <col min="16158" max="16158" width="9.70909090909091" style="15" customWidth="1"/>
    <col min="16159" max="16159" width="8.42727272727273" style="15" customWidth="1"/>
    <col min="16160" max="16375" width="8.70909090909091" style="15"/>
    <col min="16376" max="16383" width="8.70909090909091" style="15" customWidth="1"/>
    <col min="16384" max="16384" width="8.70909090909091" style="15"/>
  </cols>
  <sheetData>
    <row r="1" s="8" customFormat="1" ht="15.75" spans="1:34">
      <c r="A1" s="16"/>
      <c r="B1" s="17" t="s">
        <v>84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8"/>
      <c r="O1" s="18"/>
      <c r="W1" s="19"/>
    </row>
    <row r="2" s="8" customFormat="1" ht="51.75" customHeight="1" spans="1:34">
      <c r="A2" s="16"/>
      <c r="B2" s="20" t="s">
        <v>85</v>
      </c>
      <c r="C2" s="20"/>
      <c r="D2" s="21"/>
      <c r="E2" s="21"/>
      <c r="F2" s="21"/>
      <c r="G2" s="21"/>
      <c r="H2" s="21"/>
      <c r="I2" s="21"/>
      <c r="J2" s="21"/>
      <c r="K2" s="21"/>
      <c r="L2" s="21"/>
      <c r="M2" s="22"/>
      <c r="N2" s="22" t="s">
        <v>86</v>
      </c>
      <c r="O2" s="22"/>
      <c r="P2" s="18"/>
      <c r="Q2" s="18"/>
      <c r="R2" s="18"/>
      <c r="V2" s="8" t="s">
        <v>87</v>
      </c>
      <c r="W2" s="23"/>
      <c r="X2" s="23"/>
      <c r="Y2" s="23"/>
    </row>
    <row r="3" s="8" customFormat="1" ht="15.75" customHeight="1" spans="1:34">
      <c r="A3" s="16"/>
      <c r="B3" s="17" t="s">
        <v>88</v>
      </c>
      <c r="C3" s="17"/>
      <c r="D3" s="24"/>
      <c r="E3" s="24"/>
      <c r="F3" s="24"/>
      <c r="G3" s="24"/>
      <c r="H3" s="24"/>
      <c r="I3" s="24"/>
      <c r="J3" s="24"/>
      <c r="K3" s="24"/>
      <c r="L3" s="24"/>
      <c r="M3" s="18"/>
      <c r="N3" s="18" t="s">
        <v>89</v>
      </c>
      <c r="O3" s="18"/>
      <c r="P3" s="18"/>
      <c r="Q3" s="18"/>
      <c r="R3" s="18"/>
      <c r="V3" s="8" t="s">
        <v>90</v>
      </c>
    </row>
    <row r="4" s="8" customFormat="1" ht="15.75" customHeight="1" spans="1:34">
      <c r="A4" s="16"/>
      <c r="B4" s="17" t="s">
        <v>91</v>
      </c>
      <c r="C4" s="17"/>
      <c r="D4" s="24"/>
      <c r="E4" s="24"/>
      <c r="F4" s="24"/>
      <c r="G4" s="24"/>
      <c r="H4" s="24"/>
      <c r="I4" s="24"/>
      <c r="J4" s="24"/>
      <c r="K4" s="24"/>
      <c r="L4" s="24"/>
      <c r="M4" s="18"/>
      <c r="N4" s="18" t="s">
        <v>92</v>
      </c>
      <c r="O4" s="18"/>
      <c r="P4" s="18"/>
      <c r="Q4" s="18"/>
      <c r="R4" s="18"/>
      <c r="V4" s="8" t="s">
        <v>93</v>
      </c>
    </row>
    <row r="5" s="8" customFormat="1" ht="15.75" customHeight="1" spans="1:34">
      <c r="A5" s="16"/>
      <c r="B5" s="17" t="s">
        <v>94</v>
      </c>
      <c r="C5" s="17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18"/>
      <c r="Q5" s="18"/>
      <c r="R5" s="18"/>
      <c r="V5" s="8" t="s">
        <v>95</v>
      </c>
    </row>
    <row r="6" s="8" customFormat="1" ht="15.75" customHeight="1" spans="1:34">
      <c r="A6" s="16"/>
      <c r="B6" s="17" t="s">
        <v>96</v>
      </c>
      <c r="C6" s="17"/>
      <c r="D6" s="24"/>
      <c r="E6" s="24"/>
      <c r="F6" s="24"/>
      <c r="G6" s="24"/>
      <c r="H6" s="24"/>
      <c r="I6" s="24"/>
      <c r="J6" s="24"/>
      <c r="K6" s="24"/>
      <c r="L6" s="24"/>
      <c r="M6" s="18"/>
      <c r="N6" s="18"/>
      <c r="O6" s="18"/>
      <c r="W6" s="19"/>
    </row>
    <row r="7" spans="1:34">
      <c r="B7" s="25" t="s">
        <v>97</v>
      </c>
      <c r="C7" s="25"/>
      <c r="D7" s="25"/>
      <c r="E7" s="26"/>
      <c r="F7" s="15"/>
      <c r="G7" s="15"/>
      <c r="H7" s="15"/>
      <c r="I7" s="15"/>
      <c r="J7" s="15"/>
      <c r="K7" s="15"/>
      <c r="L7" s="15"/>
    </row>
    <row r="8" ht="15.95" customHeight="1" spans="1:34">
      <c r="A8" s="27" t="s">
        <v>98</v>
      </c>
      <c r="B8" s="28"/>
      <c r="C8" s="28"/>
      <c r="D8" s="28"/>
      <c r="E8" s="28"/>
      <c r="F8" s="29"/>
      <c r="G8" s="27" t="s">
        <v>99</v>
      </c>
      <c r="H8" s="28"/>
      <c r="I8" s="28"/>
      <c r="J8" s="28"/>
      <c r="K8" s="29"/>
      <c r="L8" s="30" t="s">
        <v>100</v>
      </c>
      <c r="M8" s="30"/>
      <c r="N8" s="30"/>
      <c r="O8" s="30"/>
      <c r="P8" s="31" t="s">
        <v>101</v>
      </c>
      <c r="Q8" s="31"/>
      <c r="R8" s="31"/>
      <c r="S8" s="31"/>
      <c r="T8" s="31"/>
      <c r="U8" s="31"/>
      <c r="V8" s="31" t="s">
        <v>102</v>
      </c>
      <c r="W8" s="31"/>
      <c r="X8" s="31"/>
      <c r="Y8" s="31"/>
      <c r="Z8" s="31"/>
      <c r="AA8" s="31"/>
      <c r="AB8" s="31" t="s">
        <v>103</v>
      </c>
      <c r="AC8" s="31"/>
      <c r="AD8" s="31" t="s">
        <v>104</v>
      </c>
      <c r="AE8" s="31"/>
      <c r="AF8" s="31"/>
    </row>
    <row r="9" s="9" customFormat="1" ht="60" spans="1:34">
      <c r="A9" s="32" t="s">
        <v>105</v>
      </c>
      <c r="B9" s="32" t="s">
        <v>106</v>
      </c>
      <c r="C9" s="32" t="s">
        <v>107</v>
      </c>
      <c r="D9" s="32" t="s">
        <v>108</v>
      </c>
      <c r="E9" s="32" t="s">
        <v>109</v>
      </c>
      <c r="F9" s="32" t="s">
        <v>110</v>
      </c>
      <c r="G9" s="33" t="s">
        <v>111</v>
      </c>
      <c r="H9" s="33" t="s">
        <v>112</v>
      </c>
      <c r="I9" s="33" t="s">
        <v>113</v>
      </c>
      <c r="J9" s="33" t="s">
        <v>114</v>
      </c>
      <c r="K9" s="34" t="s">
        <v>115</v>
      </c>
      <c r="L9" s="34" t="s">
        <v>116</v>
      </c>
      <c r="M9" s="34" t="s">
        <v>38</v>
      </c>
      <c r="N9" s="34" t="s">
        <v>117</v>
      </c>
      <c r="O9" s="34" t="s">
        <v>118</v>
      </c>
      <c r="P9" s="34" t="s">
        <v>111</v>
      </c>
      <c r="Q9" s="34" t="s">
        <v>112</v>
      </c>
      <c r="R9" s="33" t="s">
        <v>113</v>
      </c>
      <c r="S9" s="33" t="s">
        <v>119</v>
      </c>
      <c r="T9" s="33" t="s">
        <v>120</v>
      </c>
      <c r="U9" s="34" t="s">
        <v>115</v>
      </c>
      <c r="V9" s="34" t="s">
        <v>121</v>
      </c>
      <c r="W9" s="35" t="s">
        <v>122</v>
      </c>
      <c r="X9" s="34" t="s">
        <v>123</v>
      </c>
      <c r="Y9" s="34" t="s">
        <v>124</v>
      </c>
      <c r="Z9" s="34" t="s">
        <v>80</v>
      </c>
      <c r="AA9" s="34" t="s">
        <v>125</v>
      </c>
      <c r="AB9" s="36" t="s">
        <v>126</v>
      </c>
      <c r="AC9" s="37" t="s">
        <v>127</v>
      </c>
      <c r="AD9" s="34" t="s">
        <v>128</v>
      </c>
      <c r="AE9" s="34" t="s">
        <v>129</v>
      </c>
      <c r="AF9" s="34" t="s">
        <v>130</v>
      </c>
    </row>
    <row r="10" s="10" customFormat="1" ht="21" customHeight="1" spans="1:34">
      <c r="A10" s="38">
        <v>1</v>
      </c>
      <c r="B10" s="39" t="s">
        <v>131</v>
      </c>
      <c r="C10" s="39"/>
      <c r="D10" s="40" t="s">
        <v>132</v>
      </c>
      <c r="E10" s="41" t="s">
        <v>133</v>
      </c>
      <c r="F10" s="39" t="s">
        <v>134</v>
      </c>
      <c r="G10" s="42">
        <v>60000</v>
      </c>
      <c r="H10" s="43">
        <f>G10*50%</f>
        <v>30000</v>
      </c>
      <c r="I10" s="44">
        <f>K10-G10-H10</f>
        <v>30000</v>
      </c>
      <c r="J10" s="44">
        <v>0</v>
      </c>
      <c r="K10" s="44">
        <v>120000</v>
      </c>
      <c r="L10" s="45">
        <v>27</v>
      </c>
      <c r="M10" s="45">
        <v>20</v>
      </c>
      <c r="N10" s="44"/>
      <c r="O10" s="46"/>
      <c r="P10" s="44">
        <f t="shared" ref="P10:P23" si="0">G10/L10*M10</f>
        <v>44444.4444444444</v>
      </c>
      <c r="Q10" s="44">
        <f>H10/L10*M10</f>
        <v>22222.2222222222</v>
      </c>
      <c r="R10" s="44">
        <f t="shared" ref="R10:R23" si="1">I10/L10*M10</f>
        <v>22222.2222222222</v>
      </c>
      <c r="S10" s="44">
        <f>K10/8/27*O10*2</f>
        <v>0</v>
      </c>
      <c r="T10" s="44">
        <f>J10/L10*M10</f>
        <v>0</v>
      </c>
      <c r="U10" s="44">
        <f t="shared" ref="U10" si="2">ROUND(SUM(P10:T10),0)</f>
        <v>88889</v>
      </c>
      <c r="V10" s="47">
        <v>200</v>
      </c>
      <c r="W10" s="44">
        <v>0</v>
      </c>
      <c r="X10" s="44">
        <v>0</v>
      </c>
      <c r="Y10" s="44"/>
      <c r="Z10" s="44"/>
      <c r="AA10" s="44">
        <f>V10+W10+X10+Y10+Z10</f>
        <v>200</v>
      </c>
      <c r="AB10" s="44">
        <f>U10-AA10</f>
        <v>88689</v>
      </c>
      <c r="AC10" s="48"/>
      <c r="AD10" s="44">
        <v>0</v>
      </c>
      <c r="AE10" s="44">
        <v>0</v>
      </c>
      <c r="AF10" s="44">
        <f t="shared" ref="AF10" si="3">ROUND(SUM(AD10:AE10)+U10,0)</f>
        <v>88889</v>
      </c>
      <c r="AG10" s="49"/>
      <c r="AH10" s="49"/>
    </row>
    <row r="11" s="10" customFormat="1" ht="21" customHeight="1" spans="1:34">
      <c r="A11" s="38">
        <v>2</v>
      </c>
      <c r="B11" s="39" t="s">
        <v>135</v>
      </c>
      <c r="C11" s="39">
        <v>3714642686</v>
      </c>
      <c r="D11" s="40" t="s">
        <v>136</v>
      </c>
      <c r="E11" s="41" t="s">
        <v>133</v>
      </c>
      <c r="F11" s="39" t="s">
        <v>137</v>
      </c>
      <c r="G11" s="42">
        <v>16000</v>
      </c>
      <c r="H11" s="43">
        <f t="shared" ref="H11:H15" si="4">G11*20%</f>
        <v>3200</v>
      </c>
      <c r="I11" s="44">
        <f t="shared" ref="I11:I21" si="5">K11-G11-H11-J11</f>
        <v>9467.2</v>
      </c>
      <c r="J11" s="44">
        <f>G11*8.33%</f>
        <v>1332.8</v>
      </c>
      <c r="K11" s="44">
        <v>30000</v>
      </c>
      <c r="L11" s="45">
        <v>27</v>
      </c>
      <c r="M11" s="45">
        <v>27</v>
      </c>
      <c r="N11" s="44"/>
      <c r="O11" s="46">
        <v>32</v>
      </c>
      <c r="P11" s="44">
        <f t="shared" si="0"/>
        <v>16000</v>
      </c>
      <c r="Q11" s="44">
        <f t="shared" ref="Q11:Q23" si="6">H11/L11*M11</f>
        <v>3200</v>
      </c>
      <c r="R11" s="44">
        <f t="shared" si="1"/>
        <v>9467.2</v>
      </c>
      <c r="S11" s="44">
        <f t="shared" ref="S11:S23" si="7">K11/8/27*O11*2</f>
        <v>8888.88888888889</v>
      </c>
      <c r="T11" s="44">
        <f>J11/L11*M11</f>
        <v>1332.8</v>
      </c>
      <c r="U11" s="44">
        <f t="shared" ref="U11:U21" si="8">ROUND(SUM(P11:T11),0)</f>
        <v>38889</v>
      </c>
      <c r="V11" s="47">
        <v>200</v>
      </c>
      <c r="W11" s="44">
        <f t="shared" ref="W11:W21" si="9">P11*0.75%</f>
        <v>120</v>
      </c>
      <c r="X11" s="44">
        <v>0</v>
      </c>
      <c r="Y11" s="44"/>
      <c r="Z11" s="44"/>
      <c r="AA11" s="44">
        <f>V11+W11+X11+Y11+Z11</f>
        <v>320</v>
      </c>
      <c r="AB11" s="44">
        <f>U11-AA11</f>
        <v>38569</v>
      </c>
      <c r="AC11" s="48"/>
      <c r="AD11" s="44">
        <f t="shared" ref="AD11:AD21" si="10">P11*3.25%</f>
        <v>520</v>
      </c>
      <c r="AE11" s="44">
        <v>0</v>
      </c>
      <c r="AF11" s="44">
        <f t="shared" ref="AF11:AF23" si="11">ROUND(SUM(AD11:AE11)+U11,0)</f>
        <v>39409</v>
      </c>
      <c r="AG11" s="49"/>
      <c r="AH11" s="49"/>
    </row>
    <row r="12" s="11" customFormat="1" ht="20.25" customHeight="1" spans="1:34">
      <c r="A12" s="38">
        <v>3</v>
      </c>
      <c r="B12" s="39" t="s">
        <v>138</v>
      </c>
      <c r="C12" s="39">
        <v>4119549370</v>
      </c>
      <c r="D12" s="40" t="s">
        <v>139</v>
      </c>
      <c r="E12" s="41" t="s">
        <v>133</v>
      </c>
      <c r="F12" s="39" t="s">
        <v>137</v>
      </c>
      <c r="G12" s="42">
        <v>16000</v>
      </c>
      <c r="H12" s="43">
        <f t="shared" si="4"/>
        <v>3200</v>
      </c>
      <c r="I12" s="44">
        <f t="shared" si="5"/>
        <v>6467.2</v>
      </c>
      <c r="J12" s="44">
        <f t="shared" ref="J12:J21" si="12">G12*8.33%</f>
        <v>1332.8</v>
      </c>
      <c r="K12" s="44">
        <v>27000</v>
      </c>
      <c r="L12" s="45">
        <v>27</v>
      </c>
      <c r="M12" s="45">
        <v>20</v>
      </c>
      <c r="N12" s="47"/>
      <c r="O12" s="46"/>
      <c r="P12" s="44">
        <f t="shared" si="0"/>
        <v>11851.8518518519</v>
      </c>
      <c r="Q12" s="44">
        <f t="shared" si="6"/>
        <v>2370.37037037037</v>
      </c>
      <c r="R12" s="44">
        <f t="shared" si="1"/>
        <v>4790.51851851852</v>
      </c>
      <c r="S12" s="44">
        <f t="shared" si="7"/>
        <v>0</v>
      </c>
      <c r="T12" s="44">
        <f t="shared" ref="T12:T23" si="13">J12/L12*M12</f>
        <v>987.259259259259</v>
      </c>
      <c r="U12" s="44">
        <f t="shared" si="8"/>
        <v>20000</v>
      </c>
      <c r="V12" s="47">
        <v>200</v>
      </c>
      <c r="W12" s="44">
        <f t="shared" si="9"/>
        <v>88.8888888888889</v>
      </c>
      <c r="X12" s="47">
        <v>0</v>
      </c>
      <c r="Y12" s="47"/>
      <c r="Z12" s="47"/>
      <c r="AA12" s="44">
        <f t="shared" ref="AA12:AA23" si="14">V12+W12+X12+Y12+Z12</f>
        <v>288.888888888889</v>
      </c>
      <c r="AB12" s="44">
        <f t="shared" ref="AB12:AB23" si="15">U12-AA12</f>
        <v>19711.1111111111</v>
      </c>
      <c r="AC12" s="50"/>
      <c r="AD12" s="44">
        <f t="shared" si="10"/>
        <v>385.185185185185</v>
      </c>
      <c r="AE12" s="47">
        <v>0</v>
      </c>
      <c r="AF12" s="47">
        <f t="shared" si="11"/>
        <v>20385</v>
      </c>
      <c r="AG12" s="51"/>
      <c r="AH12" s="51"/>
    </row>
    <row r="13" s="10" customFormat="1" ht="20.25" customHeight="1" spans="1:34">
      <c r="A13" s="38">
        <v>4</v>
      </c>
      <c r="B13" s="39" t="s">
        <v>140</v>
      </c>
      <c r="C13" s="39"/>
      <c r="D13" s="40" t="s">
        <v>141</v>
      </c>
      <c r="E13" s="41" t="s">
        <v>133</v>
      </c>
      <c r="F13" s="39" t="s">
        <v>137</v>
      </c>
      <c r="G13" s="42">
        <v>17500</v>
      </c>
      <c r="H13" s="43">
        <f t="shared" si="4"/>
        <v>3500</v>
      </c>
      <c r="I13" s="44">
        <f t="shared" si="5"/>
        <v>12542.25</v>
      </c>
      <c r="J13" s="44">
        <f t="shared" si="12"/>
        <v>1457.75</v>
      </c>
      <c r="K13" s="44">
        <v>35000</v>
      </c>
      <c r="L13" s="45">
        <v>27</v>
      </c>
      <c r="M13" s="45">
        <v>12</v>
      </c>
      <c r="N13" s="44"/>
      <c r="O13" s="46"/>
      <c r="P13" s="44">
        <f t="shared" si="0"/>
        <v>7777.77777777778</v>
      </c>
      <c r="Q13" s="44">
        <f t="shared" si="6"/>
        <v>1555.55555555556</v>
      </c>
      <c r="R13" s="44">
        <f t="shared" si="1"/>
        <v>5574.33333333333</v>
      </c>
      <c r="S13" s="44">
        <f t="shared" si="7"/>
        <v>0</v>
      </c>
      <c r="T13" s="44">
        <f t="shared" si="13"/>
        <v>647.888888888889</v>
      </c>
      <c r="U13" s="44">
        <f t="shared" si="8"/>
        <v>15556</v>
      </c>
      <c r="V13" s="47">
        <v>200</v>
      </c>
      <c r="W13" s="44">
        <v>0</v>
      </c>
      <c r="X13" s="44">
        <v>0</v>
      </c>
      <c r="Y13" s="44"/>
      <c r="Z13" s="44"/>
      <c r="AA13" s="44">
        <f t="shared" si="14"/>
        <v>200</v>
      </c>
      <c r="AB13" s="44">
        <f t="shared" si="15"/>
        <v>15356</v>
      </c>
      <c r="AC13" s="48"/>
      <c r="AD13" s="44">
        <v>0</v>
      </c>
      <c r="AE13" s="44">
        <v>0</v>
      </c>
      <c r="AF13" s="44">
        <f t="shared" si="11"/>
        <v>15556</v>
      </c>
      <c r="AG13" s="49" t="s">
        <v>142</v>
      </c>
      <c r="AH13" s="49"/>
    </row>
    <row r="14" s="10" customFormat="1" ht="20.25" customHeight="1" spans="1:34">
      <c r="A14" s="38">
        <v>5</v>
      </c>
      <c r="B14" s="39" t="s">
        <v>143</v>
      </c>
      <c r="C14" s="39">
        <v>3519474008</v>
      </c>
      <c r="D14" s="40" t="s">
        <v>144</v>
      </c>
      <c r="E14" s="41" t="s">
        <v>133</v>
      </c>
      <c r="F14" s="39" t="s">
        <v>137</v>
      </c>
      <c r="G14" s="42">
        <v>16000</v>
      </c>
      <c r="H14" s="43">
        <f t="shared" si="4"/>
        <v>3200</v>
      </c>
      <c r="I14" s="44">
        <f t="shared" si="5"/>
        <v>11467.2</v>
      </c>
      <c r="J14" s="44">
        <f t="shared" si="12"/>
        <v>1332.8</v>
      </c>
      <c r="K14" s="52">
        <v>32000</v>
      </c>
      <c r="L14" s="45">
        <v>27</v>
      </c>
      <c r="M14" s="45">
        <v>27</v>
      </c>
      <c r="N14" s="44"/>
      <c r="O14" s="46">
        <v>24</v>
      </c>
      <c r="P14" s="44">
        <f t="shared" si="0"/>
        <v>16000</v>
      </c>
      <c r="Q14" s="44">
        <f t="shared" si="6"/>
        <v>3200</v>
      </c>
      <c r="R14" s="44">
        <f t="shared" si="1"/>
        <v>11467.2</v>
      </c>
      <c r="S14" s="44">
        <f t="shared" si="7"/>
        <v>7111.11111111111</v>
      </c>
      <c r="T14" s="44">
        <f t="shared" si="13"/>
        <v>1332.8</v>
      </c>
      <c r="U14" s="44">
        <f t="shared" si="8"/>
        <v>39111</v>
      </c>
      <c r="V14" s="47">
        <v>200</v>
      </c>
      <c r="W14" s="44">
        <f t="shared" si="9"/>
        <v>120</v>
      </c>
      <c r="X14" s="44">
        <v>0</v>
      </c>
      <c r="Y14" s="44"/>
      <c r="Z14" s="44"/>
      <c r="AA14" s="44">
        <f t="shared" si="14"/>
        <v>320</v>
      </c>
      <c r="AB14" s="44">
        <f t="shared" si="15"/>
        <v>38791</v>
      </c>
      <c r="AC14" s="48"/>
      <c r="AD14" s="44">
        <f t="shared" si="10"/>
        <v>520</v>
      </c>
      <c r="AE14" s="44">
        <v>0</v>
      </c>
      <c r="AF14" s="44">
        <f t="shared" si="11"/>
        <v>39631</v>
      </c>
      <c r="AG14" s="49"/>
      <c r="AH14" s="49"/>
    </row>
    <row r="15" s="10" customFormat="1" ht="20.25" customHeight="1" spans="1:34">
      <c r="A15" s="38">
        <v>6</v>
      </c>
      <c r="B15" s="39" t="s">
        <v>145</v>
      </c>
      <c r="C15" s="39">
        <v>3519474099</v>
      </c>
      <c r="D15" s="40" t="s">
        <v>146</v>
      </c>
      <c r="E15" s="41" t="s">
        <v>133</v>
      </c>
      <c r="F15" s="39" t="s">
        <v>137</v>
      </c>
      <c r="G15" s="42">
        <v>16000</v>
      </c>
      <c r="H15" s="43">
        <f t="shared" si="4"/>
        <v>3200</v>
      </c>
      <c r="I15" s="44">
        <f t="shared" si="5"/>
        <v>11467.2</v>
      </c>
      <c r="J15" s="44">
        <f t="shared" si="12"/>
        <v>1332.8</v>
      </c>
      <c r="K15" s="44">
        <v>32000</v>
      </c>
      <c r="L15" s="45">
        <v>27</v>
      </c>
      <c r="M15" s="45">
        <v>27</v>
      </c>
      <c r="N15" s="44"/>
      <c r="O15" s="46">
        <v>16</v>
      </c>
      <c r="P15" s="44">
        <f t="shared" si="0"/>
        <v>16000</v>
      </c>
      <c r="Q15" s="44">
        <f t="shared" si="6"/>
        <v>3200</v>
      </c>
      <c r="R15" s="44">
        <f t="shared" si="1"/>
        <v>11467.2</v>
      </c>
      <c r="S15" s="44">
        <f t="shared" si="7"/>
        <v>4740.74074074074</v>
      </c>
      <c r="T15" s="44">
        <f t="shared" si="13"/>
        <v>1332.8</v>
      </c>
      <c r="U15" s="44">
        <f t="shared" si="8"/>
        <v>36741</v>
      </c>
      <c r="V15" s="47">
        <v>200</v>
      </c>
      <c r="W15" s="44">
        <f t="shared" si="9"/>
        <v>120</v>
      </c>
      <c r="X15" s="44">
        <v>0</v>
      </c>
      <c r="Y15" s="44"/>
      <c r="Z15" s="44"/>
      <c r="AA15" s="44">
        <f t="shared" si="14"/>
        <v>320</v>
      </c>
      <c r="AB15" s="44">
        <f t="shared" si="15"/>
        <v>36421</v>
      </c>
      <c r="AC15" s="48"/>
      <c r="AD15" s="44">
        <f t="shared" si="10"/>
        <v>520</v>
      </c>
      <c r="AE15" s="44">
        <v>0</v>
      </c>
      <c r="AF15" s="44">
        <f t="shared" si="11"/>
        <v>37261</v>
      </c>
      <c r="AG15" s="49"/>
      <c r="AH15" s="49"/>
    </row>
    <row r="16" s="10" customFormat="1" ht="20.25" customHeight="1" spans="1:34">
      <c r="A16" s="38">
        <v>7</v>
      </c>
      <c r="B16" s="39" t="s">
        <v>147</v>
      </c>
      <c r="C16" s="39">
        <v>3519474079</v>
      </c>
      <c r="D16" s="40" t="s">
        <v>148</v>
      </c>
      <c r="E16" s="41" t="s">
        <v>133</v>
      </c>
      <c r="F16" s="39" t="s">
        <v>137</v>
      </c>
      <c r="G16" s="42">
        <v>16000</v>
      </c>
      <c r="H16" s="43">
        <f t="shared" ref="H16:H23" si="16">G16*20%</f>
        <v>3200</v>
      </c>
      <c r="I16" s="44">
        <f t="shared" si="5"/>
        <v>6467.2</v>
      </c>
      <c r="J16" s="44">
        <f t="shared" si="12"/>
        <v>1332.8</v>
      </c>
      <c r="K16" s="44">
        <v>27000</v>
      </c>
      <c r="L16" s="45">
        <v>27</v>
      </c>
      <c r="M16" s="45">
        <v>27</v>
      </c>
      <c r="N16" s="44"/>
      <c r="O16" s="46">
        <v>24</v>
      </c>
      <c r="P16" s="44">
        <f t="shared" si="0"/>
        <v>16000</v>
      </c>
      <c r="Q16" s="44">
        <f t="shared" si="6"/>
        <v>3200</v>
      </c>
      <c r="R16" s="44">
        <f t="shared" si="1"/>
        <v>6467.2</v>
      </c>
      <c r="S16" s="44">
        <f t="shared" si="7"/>
        <v>6000</v>
      </c>
      <c r="T16" s="44">
        <f t="shared" si="13"/>
        <v>1332.8</v>
      </c>
      <c r="U16" s="44">
        <f t="shared" si="8"/>
        <v>33000</v>
      </c>
      <c r="V16" s="47">
        <v>200</v>
      </c>
      <c r="W16" s="44">
        <f t="shared" si="9"/>
        <v>120</v>
      </c>
      <c r="X16" s="44">
        <v>0</v>
      </c>
      <c r="Y16" s="44"/>
      <c r="Z16" s="44"/>
      <c r="AA16" s="44">
        <f t="shared" si="14"/>
        <v>320</v>
      </c>
      <c r="AB16" s="44">
        <f t="shared" si="15"/>
        <v>32680</v>
      </c>
      <c r="AC16" s="48"/>
      <c r="AD16" s="44">
        <f t="shared" si="10"/>
        <v>520</v>
      </c>
      <c r="AE16" s="44">
        <v>0</v>
      </c>
      <c r="AF16" s="44">
        <f t="shared" si="11"/>
        <v>33520</v>
      </c>
      <c r="AG16" s="49"/>
      <c r="AH16" s="49"/>
    </row>
    <row r="17" s="10" customFormat="1" ht="20.25" customHeight="1" spans="1:34">
      <c r="A17" s="38">
        <v>8</v>
      </c>
      <c r="B17" s="39" t="s">
        <v>149</v>
      </c>
      <c r="C17" s="39">
        <v>3517982333</v>
      </c>
      <c r="D17" s="40" t="s">
        <v>150</v>
      </c>
      <c r="E17" s="41" t="s">
        <v>133</v>
      </c>
      <c r="F17" s="39" t="s">
        <v>137</v>
      </c>
      <c r="G17" s="42">
        <v>19000</v>
      </c>
      <c r="H17" s="43">
        <f t="shared" si="16"/>
        <v>3800</v>
      </c>
      <c r="I17" s="44">
        <f t="shared" si="5"/>
        <v>13617.3</v>
      </c>
      <c r="J17" s="44">
        <f t="shared" si="12"/>
        <v>1582.7</v>
      </c>
      <c r="K17" s="44">
        <v>38000</v>
      </c>
      <c r="L17" s="45">
        <v>27</v>
      </c>
      <c r="M17" s="45">
        <v>27</v>
      </c>
      <c r="N17" s="44"/>
      <c r="O17" s="46">
        <v>32</v>
      </c>
      <c r="P17" s="44">
        <f t="shared" si="0"/>
        <v>19000</v>
      </c>
      <c r="Q17" s="44">
        <f t="shared" si="6"/>
        <v>3800</v>
      </c>
      <c r="R17" s="44">
        <f t="shared" si="1"/>
        <v>13617.3</v>
      </c>
      <c r="S17" s="44">
        <f t="shared" si="7"/>
        <v>11259.2592592593</v>
      </c>
      <c r="T17" s="44">
        <f t="shared" si="13"/>
        <v>1582.7</v>
      </c>
      <c r="U17" s="44">
        <f t="shared" si="8"/>
        <v>49259</v>
      </c>
      <c r="V17" s="47">
        <v>200</v>
      </c>
      <c r="W17" s="44">
        <f t="shared" si="9"/>
        <v>142.5</v>
      </c>
      <c r="X17" s="44">
        <v>0</v>
      </c>
      <c r="Y17" s="44"/>
      <c r="Z17" s="44"/>
      <c r="AA17" s="44">
        <f t="shared" si="14"/>
        <v>342.5</v>
      </c>
      <c r="AB17" s="44">
        <f t="shared" si="15"/>
        <v>48916.5</v>
      </c>
      <c r="AC17" s="48"/>
      <c r="AD17" s="44">
        <f t="shared" si="10"/>
        <v>617.5</v>
      </c>
      <c r="AE17" s="44">
        <v>0</v>
      </c>
      <c r="AF17" s="44">
        <f t="shared" si="11"/>
        <v>49877</v>
      </c>
      <c r="AG17" s="49"/>
      <c r="AH17" s="49"/>
    </row>
    <row r="18" s="10" customFormat="1" ht="20.25" customHeight="1" spans="1:34">
      <c r="A18" s="38">
        <v>9</v>
      </c>
      <c r="B18" s="39" t="s">
        <v>151</v>
      </c>
      <c r="C18" s="39">
        <v>3519474090</v>
      </c>
      <c r="D18" s="40" t="s">
        <v>152</v>
      </c>
      <c r="E18" s="41" t="s">
        <v>133</v>
      </c>
      <c r="F18" s="39" t="s">
        <v>137</v>
      </c>
      <c r="G18" s="42">
        <v>16000</v>
      </c>
      <c r="H18" s="43">
        <f t="shared" si="16"/>
        <v>3200</v>
      </c>
      <c r="I18" s="44">
        <f t="shared" si="5"/>
        <v>7467.2</v>
      </c>
      <c r="J18" s="44">
        <f t="shared" si="12"/>
        <v>1332.8</v>
      </c>
      <c r="K18" s="44">
        <v>28000</v>
      </c>
      <c r="L18" s="45">
        <v>27</v>
      </c>
      <c r="M18" s="45">
        <v>27</v>
      </c>
      <c r="N18" s="44"/>
      <c r="O18" s="46">
        <v>16</v>
      </c>
      <c r="P18" s="44">
        <f t="shared" si="0"/>
        <v>16000</v>
      </c>
      <c r="Q18" s="44">
        <f t="shared" si="6"/>
        <v>3200</v>
      </c>
      <c r="R18" s="44">
        <f t="shared" si="1"/>
        <v>7467.2</v>
      </c>
      <c r="S18" s="44">
        <f t="shared" si="7"/>
        <v>4148.14814814815</v>
      </c>
      <c r="T18" s="44">
        <f t="shared" si="13"/>
        <v>1332.8</v>
      </c>
      <c r="U18" s="44">
        <f t="shared" si="8"/>
        <v>32148</v>
      </c>
      <c r="V18" s="47">
        <v>200</v>
      </c>
      <c r="W18" s="44">
        <f t="shared" si="9"/>
        <v>120</v>
      </c>
      <c r="X18" s="44">
        <v>0</v>
      </c>
      <c r="Y18" s="44"/>
      <c r="Z18" s="44"/>
      <c r="AA18" s="44">
        <f t="shared" si="14"/>
        <v>320</v>
      </c>
      <c r="AB18" s="44">
        <f t="shared" si="15"/>
        <v>31828</v>
      </c>
      <c r="AC18" s="48"/>
      <c r="AD18" s="44">
        <f t="shared" si="10"/>
        <v>520</v>
      </c>
      <c r="AE18" s="44">
        <v>0</v>
      </c>
      <c r="AF18" s="44">
        <f t="shared" si="11"/>
        <v>32668</v>
      </c>
      <c r="AG18" s="49"/>
      <c r="AH18" s="49"/>
    </row>
    <row r="19" s="10" customFormat="1" ht="20.25" customHeight="1" spans="1:34">
      <c r="A19" s="38">
        <v>10</v>
      </c>
      <c r="B19" s="39" t="s">
        <v>151</v>
      </c>
      <c r="C19" s="39">
        <v>3519474104</v>
      </c>
      <c r="D19" s="40" t="s">
        <v>153</v>
      </c>
      <c r="E19" s="41" t="s">
        <v>133</v>
      </c>
      <c r="F19" s="39" t="s">
        <v>137</v>
      </c>
      <c r="G19" s="42">
        <v>16000</v>
      </c>
      <c r="H19" s="43">
        <f t="shared" si="16"/>
        <v>3200</v>
      </c>
      <c r="I19" s="44">
        <f t="shared" si="5"/>
        <v>9467.2</v>
      </c>
      <c r="J19" s="44">
        <f t="shared" si="12"/>
        <v>1332.8</v>
      </c>
      <c r="K19" s="44">
        <v>30000</v>
      </c>
      <c r="L19" s="45">
        <v>27</v>
      </c>
      <c r="M19" s="45">
        <v>27</v>
      </c>
      <c r="N19" s="44"/>
      <c r="O19" s="46">
        <v>16</v>
      </c>
      <c r="P19" s="44">
        <f t="shared" si="0"/>
        <v>16000</v>
      </c>
      <c r="Q19" s="44">
        <f t="shared" si="6"/>
        <v>3200</v>
      </c>
      <c r="R19" s="44">
        <f t="shared" si="1"/>
        <v>9467.2</v>
      </c>
      <c r="S19" s="44">
        <f t="shared" si="7"/>
        <v>4444.44444444444</v>
      </c>
      <c r="T19" s="44">
        <f t="shared" si="13"/>
        <v>1332.8</v>
      </c>
      <c r="U19" s="44">
        <f t="shared" si="8"/>
        <v>34444</v>
      </c>
      <c r="V19" s="47">
        <v>200</v>
      </c>
      <c r="W19" s="44">
        <f t="shared" si="9"/>
        <v>120</v>
      </c>
      <c r="X19" s="44">
        <v>0</v>
      </c>
      <c r="Y19" s="44"/>
      <c r="Z19" s="44"/>
      <c r="AA19" s="44">
        <f t="shared" si="14"/>
        <v>320</v>
      </c>
      <c r="AB19" s="44">
        <f t="shared" si="15"/>
        <v>34124</v>
      </c>
      <c r="AC19" s="48"/>
      <c r="AD19" s="44">
        <f t="shared" si="10"/>
        <v>520</v>
      </c>
      <c r="AE19" s="44">
        <v>0</v>
      </c>
      <c r="AF19" s="44">
        <f t="shared" si="11"/>
        <v>34964</v>
      </c>
      <c r="AG19" s="49"/>
      <c r="AH19" s="49"/>
    </row>
    <row r="20" s="10" customFormat="1" ht="20.25" customHeight="1" spans="1:34">
      <c r="A20" s="38">
        <v>11</v>
      </c>
      <c r="B20" s="53" t="s">
        <v>154</v>
      </c>
      <c r="C20" s="53">
        <v>3519474106</v>
      </c>
      <c r="D20" s="39" t="s">
        <v>155</v>
      </c>
      <c r="E20" s="41" t="s">
        <v>133</v>
      </c>
      <c r="F20" s="39" t="s">
        <v>137</v>
      </c>
      <c r="G20" s="42">
        <v>16000</v>
      </c>
      <c r="H20" s="43">
        <f t="shared" si="16"/>
        <v>3200</v>
      </c>
      <c r="I20" s="44">
        <f t="shared" si="5"/>
        <v>8467.2</v>
      </c>
      <c r="J20" s="44">
        <f t="shared" si="12"/>
        <v>1332.8</v>
      </c>
      <c r="K20" s="44">
        <v>29000</v>
      </c>
      <c r="L20" s="45">
        <v>27</v>
      </c>
      <c r="M20" s="45">
        <v>27</v>
      </c>
      <c r="N20" s="44"/>
      <c r="O20" s="46">
        <v>24</v>
      </c>
      <c r="P20" s="44">
        <f t="shared" si="0"/>
        <v>16000</v>
      </c>
      <c r="Q20" s="44">
        <f t="shared" si="6"/>
        <v>3200</v>
      </c>
      <c r="R20" s="44">
        <f t="shared" si="1"/>
        <v>8467.2</v>
      </c>
      <c r="S20" s="44">
        <f t="shared" si="7"/>
        <v>6444.44444444445</v>
      </c>
      <c r="T20" s="44">
        <f t="shared" si="13"/>
        <v>1332.8</v>
      </c>
      <c r="U20" s="44">
        <f t="shared" si="8"/>
        <v>35444</v>
      </c>
      <c r="V20" s="47">
        <v>200</v>
      </c>
      <c r="W20" s="44">
        <f t="shared" si="9"/>
        <v>120</v>
      </c>
      <c r="X20" s="44">
        <v>0</v>
      </c>
      <c r="Y20" s="44"/>
      <c r="Z20" s="44"/>
      <c r="AA20" s="44">
        <f t="shared" si="14"/>
        <v>320</v>
      </c>
      <c r="AB20" s="44">
        <f t="shared" si="15"/>
        <v>35124</v>
      </c>
      <c r="AC20" s="48"/>
      <c r="AD20" s="44">
        <f t="shared" si="10"/>
        <v>520</v>
      </c>
      <c r="AE20" s="44">
        <v>0</v>
      </c>
      <c r="AF20" s="44">
        <f t="shared" si="11"/>
        <v>35964</v>
      </c>
      <c r="AG20" s="49"/>
      <c r="AH20" s="49"/>
    </row>
    <row r="21" s="10" customFormat="1" ht="20.25" customHeight="1" spans="1:34">
      <c r="A21" s="38">
        <v>12</v>
      </c>
      <c r="B21" s="39" t="s">
        <v>156</v>
      </c>
      <c r="C21" s="39">
        <v>3519474086</v>
      </c>
      <c r="D21" s="40" t="s">
        <v>157</v>
      </c>
      <c r="E21" s="41" t="s">
        <v>133</v>
      </c>
      <c r="F21" s="39" t="s">
        <v>137</v>
      </c>
      <c r="G21" s="42">
        <v>16000</v>
      </c>
      <c r="H21" s="43">
        <f t="shared" si="16"/>
        <v>3200</v>
      </c>
      <c r="I21" s="44">
        <f t="shared" si="5"/>
        <v>4467.2</v>
      </c>
      <c r="J21" s="44">
        <f t="shared" si="12"/>
        <v>1332.8</v>
      </c>
      <c r="K21" s="44">
        <v>25000</v>
      </c>
      <c r="L21" s="45">
        <v>27</v>
      </c>
      <c r="M21" s="45">
        <v>27</v>
      </c>
      <c r="N21" s="44"/>
      <c r="O21" s="46">
        <v>16</v>
      </c>
      <c r="P21" s="44">
        <f t="shared" si="0"/>
        <v>16000</v>
      </c>
      <c r="Q21" s="44">
        <f t="shared" si="6"/>
        <v>3200</v>
      </c>
      <c r="R21" s="44">
        <f t="shared" si="1"/>
        <v>4467.2</v>
      </c>
      <c r="S21" s="44">
        <f t="shared" si="7"/>
        <v>3703.7037037037</v>
      </c>
      <c r="T21" s="44">
        <f t="shared" si="13"/>
        <v>1332.8</v>
      </c>
      <c r="U21" s="44">
        <f t="shared" si="8"/>
        <v>28704</v>
      </c>
      <c r="V21" s="47">
        <v>200</v>
      </c>
      <c r="W21" s="44">
        <f t="shared" si="9"/>
        <v>120</v>
      </c>
      <c r="X21" s="44">
        <v>0</v>
      </c>
      <c r="Y21" s="44"/>
      <c r="Z21" s="44"/>
      <c r="AA21" s="44">
        <f t="shared" si="14"/>
        <v>320</v>
      </c>
      <c r="AB21" s="44">
        <f t="shared" si="15"/>
        <v>28384</v>
      </c>
      <c r="AC21" s="48"/>
      <c r="AD21" s="44">
        <f t="shared" si="10"/>
        <v>520</v>
      </c>
      <c r="AE21" s="44">
        <v>0</v>
      </c>
      <c r="AF21" s="44">
        <f t="shared" si="11"/>
        <v>29224</v>
      </c>
      <c r="AG21" s="49"/>
      <c r="AH21" s="49"/>
    </row>
    <row r="22" s="10" customFormat="1" ht="20.25" customHeight="1" spans="1:34">
      <c r="A22" s="38">
        <v>13</v>
      </c>
      <c r="B22" s="39" t="s">
        <v>158</v>
      </c>
      <c r="C22" s="39"/>
      <c r="D22" s="40" t="s">
        <v>159</v>
      </c>
      <c r="E22" s="41" t="s">
        <v>133</v>
      </c>
      <c r="F22" s="39" t="s">
        <v>137</v>
      </c>
      <c r="G22" s="42">
        <v>17500</v>
      </c>
      <c r="H22" s="43">
        <f t="shared" si="16"/>
        <v>3500</v>
      </c>
      <c r="I22" s="44">
        <f t="shared" ref="I22:I23" si="17">K22-G22-H22-J22</f>
        <v>12542.25</v>
      </c>
      <c r="J22" s="44">
        <f t="shared" ref="J22:J23" si="18">G22*8.33%</f>
        <v>1457.75</v>
      </c>
      <c r="K22" s="44">
        <v>35000</v>
      </c>
      <c r="L22" s="45">
        <v>27</v>
      </c>
      <c r="M22" s="45">
        <v>14</v>
      </c>
      <c r="N22" s="44"/>
      <c r="O22" s="46"/>
      <c r="P22" s="44">
        <f t="shared" si="0"/>
        <v>9074.07407407407</v>
      </c>
      <c r="Q22" s="44">
        <f t="shared" si="6"/>
        <v>1814.81481481481</v>
      </c>
      <c r="R22" s="44">
        <f t="shared" si="1"/>
        <v>6503.38888888889</v>
      </c>
      <c r="S22" s="44">
        <f t="shared" si="7"/>
        <v>0</v>
      </c>
      <c r="T22" s="44">
        <f t="shared" si="13"/>
        <v>755.87037037037</v>
      </c>
      <c r="U22" s="44">
        <f t="shared" ref="U22:U23" si="19">ROUND(SUM(P22:T22),0)</f>
        <v>18148</v>
      </c>
      <c r="V22" s="47">
        <v>200</v>
      </c>
      <c r="W22" s="44">
        <v>0</v>
      </c>
      <c r="X22" s="44">
        <v>0</v>
      </c>
      <c r="Y22" s="44"/>
      <c r="Z22" s="44"/>
      <c r="AA22" s="44">
        <f t="shared" si="14"/>
        <v>200</v>
      </c>
      <c r="AB22" s="44">
        <f t="shared" si="15"/>
        <v>17948</v>
      </c>
      <c r="AC22" s="48"/>
      <c r="AD22" s="44">
        <v>0</v>
      </c>
      <c r="AE22" s="44">
        <v>0</v>
      </c>
      <c r="AF22" s="44">
        <f t="shared" si="11"/>
        <v>18148</v>
      </c>
      <c r="AG22" s="49"/>
      <c r="AH22" s="49"/>
    </row>
    <row r="23" s="10" customFormat="1" ht="20.25" customHeight="1" spans="1:34">
      <c r="A23" s="38">
        <v>14</v>
      </c>
      <c r="B23" s="39" t="s">
        <v>160</v>
      </c>
      <c r="C23" s="39"/>
      <c r="D23" s="40" t="s">
        <v>161</v>
      </c>
      <c r="E23" s="41" t="s">
        <v>133</v>
      </c>
      <c r="F23" s="39" t="s">
        <v>137</v>
      </c>
      <c r="G23" s="42">
        <v>16000</v>
      </c>
      <c r="H23" s="43">
        <f t="shared" si="16"/>
        <v>3200</v>
      </c>
      <c r="I23" s="44">
        <f t="shared" si="17"/>
        <v>12467.2</v>
      </c>
      <c r="J23" s="44">
        <f t="shared" si="18"/>
        <v>1332.8</v>
      </c>
      <c r="K23" s="44">
        <v>33000</v>
      </c>
      <c r="L23" s="45">
        <v>27</v>
      </c>
      <c r="M23" s="45">
        <v>24</v>
      </c>
      <c r="N23" s="44"/>
      <c r="O23" s="46"/>
      <c r="P23" s="44">
        <f t="shared" si="0"/>
        <v>14222.2222222222</v>
      </c>
      <c r="Q23" s="44">
        <f t="shared" si="6"/>
        <v>2844.44444444444</v>
      </c>
      <c r="R23" s="44">
        <f t="shared" si="1"/>
        <v>11081.9555555556</v>
      </c>
      <c r="S23" s="44">
        <f t="shared" si="7"/>
        <v>0</v>
      </c>
      <c r="T23" s="44">
        <f t="shared" si="13"/>
        <v>1184.71111111111</v>
      </c>
      <c r="U23" s="44">
        <f t="shared" si="19"/>
        <v>29333</v>
      </c>
      <c r="V23" s="47">
        <v>200</v>
      </c>
      <c r="W23" s="44">
        <v>0</v>
      </c>
      <c r="X23" s="44">
        <v>0</v>
      </c>
      <c r="Y23" s="44"/>
      <c r="Z23" s="44"/>
      <c r="AA23" s="44">
        <f t="shared" si="14"/>
        <v>200</v>
      </c>
      <c r="AB23" s="44">
        <f t="shared" si="15"/>
        <v>29133</v>
      </c>
      <c r="AC23" s="48"/>
      <c r="AD23" s="44">
        <v>0</v>
      </c>
      <c r="AE23" s="44">
        <v>0</v>
      </c>
      <c r="AF23" s="44">
        <f t="shared" si="11"/>
        <v>29333</v>
      </c>
      <c r="AG23" s="49"/>
      <c r="AH23" s="49"/>
    </row>
    <row r="24" spans="1:34">
      <c r="G24" s="54">
        <f>SUM(G10:G23)</f>
        <v>274000</v>
      </c>
      <c r="H24" s="54">
        <f t="shared" ref="H24:AF24" si="20">SUM(H10:H23)</f>
        <v>72800</v>
      </c>
      <c r="I24" s="54">
        <f t="shared" si="20"/>
        <v>156373.8</v>
      </c>
      <c r="J24" s="54">
        <f t="shared" si="20"/>
        <v>17826.2</v>
      </c>
      <c r="K24" s="54">
        <f t="shared" si="20"/>
        <v>521000</v>
      </c>
      <c r="L24" s="54">
        <f t="shared" si="20"/>
        <v>378</v>
      </c>
      <c r="M24" s="54">
        <f t="shared" si="20"/>
        <v>333</v>
      </c>
      <c r="N24" s="54">
        <f t="shared" si="20"/>
        <v>0</v>
      </c>
      <c r="O24" s="54">
        <f t="shared" si="20"/>
        <v>200</v>
      </c>
      <c r="P24" s="54">
        <f t="shared" si="20"/>
        <v>234370.37037037</v>
      </c>
      <c r="Q24" s="54">
        <f t="shared" si="20"/>
        <v>60207.4074074074</v>
      </c>
      <c r="R24" s="54">
        <f t="shared" si="20"/>
        <v>132527.318518519</v>
      </c>
      <c r="S24" s="54">
        <f t="shared" si="20"/>
        <v>56740.7407407407</v>
      </c>
      <c r="T24" s="54">
        <f t="shared" si="20"/>
        <v>15820.8296296296</v>
      </c>
      <c r="U24" s="54">
        <f t="shared" si="20"/>
        <v>499666</v>
      </c>
      <c r="V24" s="54">
        <f t="shared" si="20"/>
        <v>2800</v>
      </c>
      <c r="W24" s="54">
        <f t="shared" si="20"/>
        <v>1191.38888888889</v>
      </c>
      <c r="X24" s="54">
        <f t="shared" si="20"/>
        <v>0</v>
      </c>
      <c r="Y24" s="54">
        <f t="shared" si="20"/>
        <v>0</v>
      </c>
      <c r="Z24" s="54">
        <f t="shared" si="20"/>
        <v>0</v>
      </c>
      <c r="AA24" s="54">
        <f t="shared" si="20"/>
        <v>3991.38888888889</v>
      </c>
      <c r="AB24" s="54">
        <f t="shared" si="20"/>
        <v>495674.611111111</v>
      </c>
      <c r="AC24" s="54">
        <f t="shared" si="20"/>
        <v>0</v>
      </c>
      <c r="AD24" s="54">
        <f t="shared" si="20"/>
        <v>5162.68518518519</v>
      </c>
      <c r="AE24" s="54">
        <f t="shared" si="20"/>
        <v>0</v>
      </c>
      <c r="AF24" s="54">
        <f t="shared" si="20"/>
        <v>504829</v>
      </c>
    </row>
    <row r="27" spans="1:34">
      <c r="AC27" s="55"/>
    </row>
    <row r="29" spans="1:34">
      <c r="AA29" s="55"/>
    </row>
  </sheetData>
  <mergeCells count="13">
    <mergeCell ref="B1:L1"/>
    <mergeCell ref="B2:L2"/>
    <mergeCell ref="B3:L3"/>
    <mergeCell ref="B4:L4"/>
    <mergeCell ref="B5:L5"/>
    <mergeCell ref="B6:L6"/>
    <mergeCell ref="A8:F8"/>
    <mergeCell ref="G8:K8"/>
    <mergeCell ref="L8:O8"/>
    <mergeCell ref="P8:U8"/>
    <mergeCell ref="V8:AA8"/>
    <mergeCell ref="AB8:AC8"/>
    <mergeCell ref="AD8:AF8"/>
  </mergeCells>
  <conditionalFormatting sqref="B15:C15">
    <cfRule type="duplicateValues" dxfId="0" priority="1"/>
  </conditionalFormatting>
  <printOptions horizontalCentered="1"/>
  <pageMargins left="0.63" right="0" top="1.05" bottom="0" header="0" footer="0"/>
  <pageSetup paperSize="5" scale="48" orientation="landscape" blackAndWhite="1"/>
  <headerFooter/>
  <ignoredErrors>
    <ignoredError sqref="N9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35"/>
  <sheetViews>
    <sheetView tabSelected="1" workbookViewId="0">
      <selection activeCell="O9" sqref="O9"/>
    </sheetView>
  </sheetViews>
  <sheetFormatPr defaultColWidth="9" defaultRowHeight="15.25"/>
  <cols>
    <col min="1" max="1" width="15.0909090909091" customWidth="1"/>
    <col min="2" max="2" width="18.5454545454545" customWidth="1"/>
    <col min="3" max="3" width="12.0909090909091" customWidth="1"/>
    <col min="4" max="4" width="9" style="1" customWidth="1"/>
    <col min="5" max="5" width="11.5454545454545" customWidth="1"/>
    <col min="6" max="6" width="5.45454545454545" customWidth="1"/>
    <col min="7" max="7" width="8.45454545454546" customWidth="1"/>
    <col min="8" max="8" width="10.3636363636364" customWidth="1"/>
    <col min="9" max="10" width="6.09090909090909" customWidth="1"/>
    <col min="11" max="11" width="9.36363636363636" customWidth="1"/>
    <col min="12" max="12" width="6.90909090909091" customWidth="1"/>
  </cols>
  <sheetData>
    <row r="1" spans="1:12">
      <c r="A1" s="2" t="s">
        <v>106</v>
      </c>
      <c r="B1" s="2" t="s">
        <v>108</v>
      </c>
      <c r="C1" s="2" t="s">
        <v>162</v>
      </c>
      <c r="D1" s="2" t="s">
        <v>163</v>
      </c>
      <c r="E1" s="2" t="s">
        <v>164</v>
      </c>
      <c r="F1" s="2" t="s">
        <v>165</v>
      </c>
      <c r="G1" s="2" t="s">
        <v>166</v>
      </c>
      <c r="H1" s="2" t="s">
        <v>167</v>
      </c>
      <c r="I1" s="2" t="s">
        <v>168</v>
      </c>
      <c r="J1" s="2" t="s">
        <v>169</v>
      </c>
      <c r="K1" s="2" t="s">
        <v>170</v>
      </c>
      <c r="L1" s="2" t="s">
        <v>171</v>
      </c>
    </row>
    <row r="2" spans="1:12">
      <c r="A2" s="3" t="s">
        <v>131</v>
      </c>
      <c r="B2" s="3" t="s">
        <v>132</v>
      </c>
      <c r="C2" s="3" t="s">
        <v>172</v>
      </c>
      <c r="D2" s="1">
        <v>46204</v>
      </c>
      <c r="E2" s="3" t="s">
        <v>173</v>
      </c>
      <c r="F2" s="3" t="s">
        <v>174</v>
      </c>
      <c r="G2" s="4" t="s">
        <v>175</v>
      </c>
      <c r="H2" s="4" t="s">
        <v>176</v>
      </c>
      <c r="I2" s="5" t="s">
        <v>177</v>
      </c>
      <c r="J2" s="5" t="s">
        <v>178</v>
      </c>
      <c r="K2" s="6">
        <v>0</v>
      </c>
      <c r="L2" s="7" t="s">
        <v>179</v>
      </c>
    </row>
    <row r="3" spans="1:12">
      <c r="A3" s="3" t="s">
        <v>131</v>
      </c>
      <c r="B3" s="3" t="s">
        <v>132</v>
      </c>
      <c r="C3" s="3" t="s">
        <v>172</v>
      </c>
      <c r="D3" s="1">
        <v>46205</v>
      </c>
      <c r="E3" s="3" t="s">
        <v>180</v>
      </c>
      <c r="F3" s="3" t="s">
        <v>181</v>
      </c>
      <c r="G3" s="4" t="s">
        <v>175</v>
      </c>
      <c r="H3" s="4" t="s">
        <v>176</v>
      </c>
      <c r="I3" s="5"/>
      <c r="J3" s="5"/>
      <c r="K3" s="6">
        <v>0</v>
      </c>
      <c r="L3" s="5" t="s">
        <v>182</v>
      </c>
    </row>
    <row r="4" spans="1:12">
      <c r="A4" s="3" t="s">
        <v>131</v>
      </c>
      <c r="B4" s="3" t="s">
        <v>132</v>
      </c>
      <c r="C4" s="3" t="s">
        <v>172</v>
      </c>
      <c r="D4" s="1">
        <v>46206</v>
      </c>
      <c r="E4" s="3" t="s">
        <v>183</v>
      </c>
      <c r="F4" s="3" t="s">
        <v>174</v>
      </c>
      <c r="G4" s="4" t="s">
        <v>175</v>
      </c>
      <c r="H4" s="4" t="s">
        <v>176</v>
      </c>
      <c r="I4" s="5" t="s">
        <v>184</v>
      </c>
      <c r="J4" s="5" t="s">
        <v>185</v>
      </c>
      <c r="K4" s="6">
        <v>0</v>
      </c>
      <c r="L4" s="5" t="s">
        <v>186</v>
      </c>
    </row>
    <row r="5" spans="1:12">
      <c r="A5" s="3" t="s">
        <v>131</v>
      </c>
      <c r="B5" s="3" t="s">
        <v>132</v>
      </c>
      <c r="C5" s="3" t="s">
        <v>172</v>
      </c>
      <c r="D5" s="1">
        <v>46207</v>
      </c>
      <c r="E5" s="3" t="s">
        <v>187</v>
      </c>
      <c r="F5" s="3" t="s">
        <v>174</v>
      </c>
      <c r="G5" s="4" t="s">
        <v>175</v>
      </c>
      <c r="H5" s="4" t="s">
        <v>176</v>
      </c>
      <c r="I5" s="5" t="s">
        <v>188</v>
      </c>
      <c r="J5" s="5" t="s">
        <v>189</v>
      </c>
      <c r="K5" s="6">
        <v>0</v>
      </c>
      <c r="L5" s="5" t="s">
        <v>190</v>
      </c>
    </row>
    <row r="6" spans="1:12">
      <c r="A6" s="3" t="s">
        <v>131</v>
      </c>
      <c r="B6" s="3" t="s">
        <v>132</v>
      </c>
      <c r="C6" s="3" t="s">
        <v>172</v>
      </c>
      <c r="D6" s="1">
        <v>46208</v>
      </c>
      <c r="E6" s="3" t="s">
        <v>191</v>
      </c>
      <c r="F6" s="3" t="s">
        <v>192</v>
      </c>
      <c r="G6" s="4" t="s">
        <v>175</v>
      </c>
      <c r="H6" s="4" t="s">
        <v>176</v>
      </c>
      <c r="I6" s="5"/>
      <c r="J6" s="5"/>
      <c r="K6" s="6"/>
      <c r="L6" s="5"/>
    </row>
    <row r="7" spans="1:12">
      <c r="A7" s="3" t="s">
        <v>131</v>
      </c>
      <c r="B7" s="3" t="s">
        <v>132</v>
      </c>
      <c r="C7" s="3" t="s">
        <v>172</v>
      </c>
      <c r="D7" s="1">
        <v>46209</v>
      </c>
      <c r="E7" s="3" t="s">
        <v>193</v>
      </c>
      <c r="F7" s="3" t="s">
        <v>174</v>
      </c>
      <c r="G7" s="4" t="s">
        <v>175</v>
      </c>
      <c r="H7" s="4" t="s">
        <v>176</v>
      </c>
      <c r="I7" s="5" t="s">
        <v>194</v>
      </c>
      <c r="J7" s="5" t="s">
        <v>195</v>
      </c>
      <c r="K7" s="6">
        <v>0</v>
      </c>
      <c r="L7" s="5" t="s">
        <v>196</v>
      </c>
    </row>
    <row r="8" spans="1:12">
      <c r="A8" s="3" t="s">
        <v>131</v>
      </c>
      <c r="B8" s="3" t="s">
        <v>132</v>
      </c>
      <c r="C8" s="3" t="s">
        <v>172</v>
      </c>
      <c r="D8" s="1">
        <v>46210</v>
      </c>
      <c r="E8" s="3" t="s">
        <v>197</v>
      </c>
      <c r="F8" s="3" t="s">
        <v>181</v>
      </c>
      <c r="G8" s="4" t="s">
        <v>175</v>
      </c>
      <c r="H8" s="4" t="s">
        <v>176</v>
      </c>
      <c r="I8" s="5"/>
      <c r="J8" s="5"/>
      <c r="K8" s="6">
        <v>0</v>
      </c>
      <c r="L8" s="5" t="s">
        <v>182</v>
      </c>
    </row>
    <row r="9" spans="1:12">
      <c r="A9" s="3" t="s">
        <v>131</v>
      </c>
      <c r="B9" s="3" t="s">
        <v>132</v>
      </c>
      <c r="C9" s="3" t="s">
        <v>172</v>
      </c>
      <c r="D9" s="1">
        <v>46211</v>
      </c>
      <c r="E9" s="3" t="s">
        <v>173</v>
      </c>
      <c r="F9" s="3" t="s">
        <v>174</v>
      </c>
      <c r="G9" s="4" t="s">
        <v>175</v>
      </c>
      <c r="H9" s="4" t="s">
        <v>176</v>
      </c>
      <c r="I9" s="5" t="s">
        <v>198</v>
      </c>
      <c r="J9" s="5" t="s">
        <v>199</v>
      </c>
      <c r="K9" s="6">
        <v>0</v>
      </c>
      <c r="L9" s="5" t="s">
        <v>200</v>
      </c>
    </row>
    <row r="10" spans="1:12">
      <c r="A10" s="3" t="s">
        <v>131</v>
      </c>
      <c r="B10" s="3" t="s">
        <v>132</v>
      </c>
      <c r="C10" s="3" t="s">
        <v>172</v>
      </c>
      <c r="D10" s="1">
        <v>46212</v>
      </c>
      <c r="E10" s="3" t="s">
        <v>180</v>
      </c>
      <c r="F10" s="3" t="s">
        <v>174</v>
      </c>
      <c r="G10" s="4" t="s">
        <v>175</v>
      </c>
      <c r="H10" s="4" t="s">
        <v>176</v>
      </c>
      <c r="I10" s="5" t="s">
        <v>194</v>
      </c>
      <c r="J10" s="5" t="s">
        <v>201</v>
      </c>
      <c r="K10" s="6">
        <v>0</v>
      </c>
      <c r="L10" s="5" t="s">
        <v>186</v>
      </c>
    </row>
    <row r="11" spans="1:12">
      <c r="A11" s="3" t="s">
        <v>131</v>
      </c>
      <c r="B11" s="3" t="s">
        <v>132</v>
      </c>
      <c r="C11" s="3" t="s">
        <v>172</v>
      </c>
      <c r="D11" s="1">
        <v>46213</v>
      </c>
      <c r="E11" s="3" t="s">
        <v>183</v>
      </c>
      <c r="F11" s="3" t="s">
        <v>181</v>
      </c>
      <c r="G11" s="4" t="s">
        <v>175</v>
      </c>
      <c r="H11" s="4" t="s">
        <v>176</v>
      </c>
      <c r="I11" s="5"/>
      <c r="J11" s="5"/>
      <c r="K11" s="6">
        <v>0</v>
      </c>
      <c r="L11" s="5" t="s">
        <v>182</v>
      </c>
    </row>
    <row r="12" spans="1:12">
      <c r="A12" s="3" t="s">
        <v>131</v>
      </c>
      <c r="B12" s="3" t="s">
        <v>132</v>
      </c>
      <c r="C12" s="3" t="s">
        <v>172</v>
      </c>
      <c r="D12" s="1">
        <v>46214</v>
      </c>
      <c r="E12" s="3" t="s">
        <v>187</v>
      </c>
      <c r="F12" s="3" t="s">
        <v>174</v>
      </c>
      <c r="G12" s="4" t="s">
        <v>175</v>
      </c>
      <c r="H12" s="4" t="s">
        <v>176</v>
      </c>
      <c r="I12" s="5" t="s">
        <v>202</v>
      </c>
      <c r="J12" s="5" t="s">
        <v>178</v>
      </c>
      <c r="K12" s="6">
        <v>0</v>
      </c>
      <c r="L12" s="5" t="s">
        <v>203</v>
      </c>
    </row>
    <row r="13" spans="1:12">
      <c r="A13" s="3" t="s">
        <v>131</v>
      </c>
      <c r="B13" s="3" t="s">
        <v>132</v>
      </c>
      <c r="C13" s="3" t="s">
        <v>172</v>
      </c>
      <c r="D13" s="1">
        <v>46215</v>
      </c>
      <c r="E13" s="3" t="s">
        <v>191</v>
      </c>
      <c r="F13" s="3" t="s">
        <v>192</v>
      </c>
      <c r="G13" s="4" t="s">
        <v>175</v>
      </c>
      <c r="H13" s="4" t="s">
        <v>176</v>
      </c>
      <c r="I13" s="5"/>
      <c r="J13" s="5"/>
      <c r="K13" s="6"/>
      <c r="L13" s="5"/>
    </row>
    <row r="14" spans="1:12">
      <c r="A14" s="3" t="s">
        <v>131</v>
      </c>
      <c r="B14" s="3" t="s">
        <v>132</v>
      </c>
      <c r="C14" s="3" t="s">
        <v>172</v>
      </c>
      <c r="D14" s="1">
        <v>46216</v>
      </c>
      <c r="E14" s="3" t="s">
        <v>193</v>
      </c>
      <c r="F14" s="3" t="s">
        <v>174</v>
      </c>
      <c r="G14" s="4" t="s">
        <v>175</v>
      </c>
      <c r="H14" s="4" t="s">
        <v>176</v>
      </c>
      <c r="I14" s="5" t="s">
        <v>186</v>
      </c>
      <c r="J14" s="5" t="s">
        <v>204</v>
      </c>
      <c r="K14" s="6">
        <v>0</v>
      </c>
      <c r="L14" s="5" t="s">
        <v>205</v>
      </c>
    </row>
    <row r="15" spans="1:12">
      <c r="A15" s="3" t="s">
        <v>131</v>
      </c>
      <c r="B15" s="3" t="s">
        <v>132</v>
      </c>
      <c r="C15" s="3" t="s">
        <v>172</v>
      </c>
      <c r="D15" s="1">
        <v>46217</v>
      </c>
      <c r="E15" s="3" t="s">
        <v>197</v>
      </c>
      <c r="F15" s="3" t="s">
        <v>174</v>
      </c>
      <c r="G15" s="4" t="s">
        <v>175</v>
      </c>
      <c r="H15" s="4" t="s">
        <v>176</v>
      </c>
      <c r="I15" s="5" t="s">
        <v>184</v>
      </c>
      <c r="J15" s="5" t="s">
        <v>206</v>
      </c>
      <c r="K15" s="6">
        <v>0</v>
      </c>
      <c r="L15" s="5" t="s">
        <v>194</v>
      </c>
    </row>
    <row r="16" spans="1:12">
      <c r="A16" s="3" t="s">
        <v>131</v>
      </c>
      <c r="B16" s="3" t="s">
        <v>132</v>
      </c>
      <c r="C16" s="3" t="s">
        <v>172</v>
      </c>
      <c r="D16" s="1">
        <v>46218</v>
      </c>
      <c r="E16" s="3" t="s">
        <v>173</v>
      </c>
      <c r="F16" s="3" t="s">
        <v>174</v>
      </c>
      <c r="G16" s="4" t="s">
        <v>175</v>
      </c>
      <c r="H16" s="4" t="s">
        <v>176</v>
      </c>
      <c r="I16" s="5" t="s">
        <v>177</v>
      </c>
      <c r="J16" s="5" t="s">
        <v>207</v>
      </c>
      <c r="K16" s="6">
        <v>0</v>
      </c>
      <c r="L16" s="5" t="s">
        <v>208</v>
      </c>
    </row>
    <row r="17" spans="1:12">
      <c r="A17" s="3" t="s">
        <v>131</v>
      </c>
      <c r="B17" s="3" t="s">
        <v>132</v>
      </c>
      <c r="C17" s="3" t="s">
        <v>172</v>
      </c>
      <c r="D17" s="1">
        <v>46219</v>
      </c>
      <c r="E17" s="3" t="s">
        <v>180</v>
      </c>
      <c r="F17" s="3" t="s">
        <v>181</v>
      </c>
      <c r="G17" s="4" t="s">
        <v>175</v>
      </c>
      <c r="H17" s="4" t="s">
        <v>176</v>
      </c>
      <c r="I17" s="5"/>
      <c r="J17" s="5"/>
      <c r="K17" s="6">
        <v>0</v>
      </c>
      <c r="L17" s="5" t="s">
        <v>182</v>
      </c>
    </row>
    <row r="18" spans="1:12">
      <c r="A18" s="3" t="s">
        <v>131</v>
      </c>
      <c r="B18" s="3" t="s">
        <v>132</v>
      </c>
      <c r="C18" s="3" t="s">
        <v>172</v>
      </c>
      <c r="D18" s="1">
        <v>46220</v>
      </c>
      <c r="E18" s="3" t="s">
        <v>183</v>
      </c>
      <c r="F18" s="3" t="s">
        <v>174</v>
      </c>
      <c r="G18" s="4" t="s">
        <v>175</v>
      </c>
      <c r="H18" s="4" t="s">
        <v>176</v>
      </c>
      <c r="I18" s="5" t="s">
        <v>209</v>
      </c>
      <c r="J18" s="5" t="s">
        <v>210</v>
      </c>
      <c r="K18" s="6">
        <v>0</v>
      </c>
      <c r="L18" s="5" t="s">
        <v>200</v>
      </c>
    </row>
    <row r="19" spans="1:12">
      <c r="A19" s="3" t="s">
        <v>131</v>
      </c>
      <c r="B19" s="3" t="s">
        <v>132</v>
      </c>
      <c r="C19" s="3" t="s">
        <v>172</v>
      </c>
      <c r="D19" s="1">
        <v>46221</v>
      </c>
      <c r="E19" s="3" t="s">
        <v>187</v>
      </c>
      <c r="F19" s="3" t="s">
        <v>174</v>
      </c>
      <c r="G19" s="4" t="s">
        <v>175</v>
      </c>
      <c r="H19" s="4" t="s">
        <v>176</v>
      </c>
      <c r="I19" s="5" t="s">
        <v>186</v>
      </c>
      <c r="J19" s="5" t="s">
        <v>189</v>
      </c>
      <c r="K19" s="6">
        <v>0</v>
      </c>
      <c r="L19" s="5" t="s">
        <v>198</v>
      </c>
    </row>
    <row r="20" spans="1:12">
      <c r="A20" s="3" t="s">
        <v>131</v>
      </c>
      <c r="B20" s="3" t="s">
        <v>132</v>
      </c>
      <c r="C20" s="3" t="s">
        <v>172</v>
      </c>
      <c r="D20" s="1">
        <v>46222</v>
      </c>
      <c r="E20" s="3" t="s">
        <v>191</v>
      </c>
      <c r="F20" s="3" t="s">
        <v>192</v>
      </c>
      <c r="G20" s="4" t="s">
        <v>175</v>
      </c>
      <c r="H20" s="4" t="s">
        <v>176</v>
      </c>
      <c r="I20" s="5"/>
      <c r="J20" s="5"/>
      <c r="K20" s="6"/>
      <c r="L20" s="5"/>
    </row>
    <row r="21" spans="1:12">
      <c r="A21" s="3" t="s">
        <v>131</v>
      </c>
      <c r="B21" s="3" t="s">
        <v>132</v>
      </c>
      <c r="C21" s="3" t="s">
        <v>172</v>
      </c>
      <c r="D21" s="1">
        <v>46223</v>
      </c>
      <c r="E21" s="3" t="s">
        <v>193</v>
      </c>
      <c r="F21" s="3" t="s">
        <v>174</v>
      </c>
      <c r="G21" s="4" t="s">
        <v>175</v>
      </c>
      <c r="H21" s="4" t="s">
        <v>176</v>
      </c>
      <c r="I21" s="5" t="s">
        <v>211</v>
      </c>
      <c r="J21" s="5" t="s">
        <v>199</v>
      </c>
      <c r="K21" s="6">
        <v>0</v>
      </c>
      <c r="L21" s="5" t="s">
        <v>212</v>
      </c>
    </row>
    <row r="22" spans="1:12">
      <c r="A22" s="3" t="s">
        <v>131</v>
      </c>
      <c r="B22" s="3" t="s">
        <v>132</v>
      </c>
      <c r="C22" s="3" t="s">
        <v>172</v>
      </c>
      <c r="D22" s="1">
        <v>46224</v>
      </c>
      <c r="E22" s="3" t="s">
        <v>197</v>
      </c>
      <c r="F22" s="3" t="s">
        <v>174</v>
      </c>
      <c r="G22" s="4" t="s">
        <v>175</v>
      </c>
      <c r="H22" s="4" t="s">
        <v>176</v>
      </c>
      <c r="I22" s="5" t="s">
        <v>211</v>
      </c>
      <c r="J22" s="5" t="s">
        <v>213</v>
      </c>
      <c r="K22" s="6">
        <v>0</v>
      </c>
      <c r="L22" s="5" t="s">
        <v>202</v>
      </c>
    </row>
    <row r="23" spans="1:12">
      <c r="A23" s="3" t="s">
        <v>131</v>
      </c>
      <c r="B23" s="3" t="s">
        <v>132</v>
      </c>
      <c r="C23" s="3" t="s">
        <v>172</v>
      </c>
      <c r="D23" s="1">
        <v>46225</v>
      </c>
      <c r="E23" s="3" t="s">
        <v>173</v>
      </c>
      <c r="F23" s="3" t="s">
        <v>174</v>
      </c>
      <c r="G23" s="4" t="s">
        <v>175</v>
      </c>
      <c r="H23" s="4" t="s">
        <v>176</v>
      </c>
      <c r="I23" s="5" t="s">
        <v>194</v>
      </c>
      <c r="J23" s="5" t="s">
        <v>214</v>
      </c>
      <c r="K23" s="6">
        <v>0</v>
      </c>
      <c r="L23" s="5" t="s">
        <v>215</v>
      </c>
    </row>
    <row r="24" spans="1:12">
      <c r="A24" s="3" t="s">
        <v>131</v>
      </c>
      <c r="B24" s="3" t="s">
        <v>132</v>
      </c>
      <c r="C24" s="3" t="s">
        <v>172</v>
      </c>
      <c r="D24" s="1">
        <v>46226</v>
      </c>
      <c r="E24" s="3" t="s">
        <v>180</v>
      </c>
      <c r="F24" s="3" t="s">
        <v>174</v>
      </c>
      <c r="G24" s="4" t="s">
        <v>175</v>
      </c>
      <c r="H24" s="4" t="s">
        <v>176</v>
      </c>
      <c r="I24" s="5" t="s">
        <v>190</v>
      </c>
      <c r="J24" s="5" t="s">
        <v>216</v>
      </c>
      <c r="K24" s="6">
        <v>0</v>
      </c>
      <c r="L24" s="5" t="s">
        <v>217</v>
      </c>
    </row>
    <row r="25" spans="1:12">
      <c r="A25" s="3" t="s">
        <v>131</v>
      </c>
      <c r="B25" s="3" t="s">
        <v>132</v>
      </c>
      <c r="C25" s="3" t="s">
        <v>172</v>
      </c>
      <c r="D25" s="1">
        <v>46227</v>
      </c>
      <c r="E25" s="3" t="s">
        <v>183</v>
      </c>
      <c r="F25" s="3" t="s">
        <v>181</v>
      </c>
      <c r="G25" s="4" t="s">
        <v>175</v>
      </c>
      <c r="H25" s="4" t="s">
        <v>176</v>
      </c>
      <c r="I25" s="5"/>
      <c r="J25" s="5"/>
      <c r="K25" s="6">
        <v>0</v>
      </c>
      <c r="L25" s="5" t="s">
        <v>182</v>
      </c>
    </row>
    <row r="26" spans="1:12">
      <c r="A26" s="3" t="s">
        <v>131</v>
      </c>
      <c r="B26" s="3" t="s">
        <v>132</v>
      </c>
      <c r="C26" s="3" t="s">
        <v>172</v>
      </c>
      <c r="D26" s="1">
        <v>46228</v>
      </c>
      <c r="E26" s="3" t="s">
        <v>187</v>
      </c>
      <c r="F26" s="3" t="s">
        <v>174</v>
      </c>
      <c r="G26" s="4" t="s">
        <v>175</v>
      </c>
      <c r="H26" s="4" t="s">
        <v>176</v>
      </c>
      <c r="I26" s="5" t="s">
        <v>211</v>
      </c>
      <c r="J26" s="5" t="s">
        <v>218</v>
      </c>
      <c r="K26" s="6">
        <v>0</v>
      </c>
      <c r="L26" s="5" t="s">
        <v>219</v>
      </c>
    </row>
    <row r="27" spans="1:12">
      <c r="A27" s="3" t="s">
        <v>131</v>
      </c>
      <c r="B27" s="3" t="s">
        <v>132</v>
      </c>
      <c r="C27" s="3" t="s">
        <v>172</v>
      </c>
      <c r="D27" s="1">
        <v>46229</v>
      </c>
      <c r="E27" s="3" t="s">
        <v>191</v>
      </c>
      <c r="F27" s="3" t="s">
        <v>192</v>
      </c>
      <c r="G27" s="4" t="s">
        <v>175</v>
      </c>
      <c r="H27" s="4" t="s">
        <v>176</v>
      </c>
      <c r="I27" s="5"/>
      <c r="J27" s="5"/>
      <c r="K27" s="6"/>
      <c r="L27" s="5"/>
    </row>
    <row r="28" spans="1:12">
      <c r="A28" s="3" t="s">
        <v>131</v>
      </c>
      <c r="B28" s="3" t="s">
        <v>132</v>
      </c>
      <c r="C28" s="3" t="s">
        <v>172</v>
      </c>
      <c r="D28" s="1">
        <v>46230</v>
      </c>
      <c r="E28" s="3" t="s">
        <v>193</v>
      </c>
      <c r="F28" s="3" t="s">
        <v>181</v>
      </c>
      <c r="G28" s="4" t="s">
        <v>175</v>
      </c>
      <c r="H28" s="4" t="s">
        <v>176</v>
      </c>
      <c r="I28" s="5"/>
      <c r="J28" s="5"/>
      <c r="K28" s="6">
        <v>0</v>
      </c>
      <c r="L28" s="5" t="s">
        <v>182</v>
      </c>
    </row>
    <row r="29" spans="1:12">
      <c r="A29" s="3" t="s">
        <v>131</v>
      </c>
      <c r="B29" s="3" t="s">
        <v>132</v>
      </c>
      <c r="C29" s="3" t="s">
        <v>172</v>
      </c>
      <c r="D29" s="1">
        <v>46231</v>
      </c>
      <c r="E29" s="3" t="s">
        <v>197</v>
      </c>
      <c r="F29" s="3" t="s">
        <v>174</v>
      </c>
      <c r="G29" s="4" t="s">
        <v>175</v>
      </c>
      <c r="H29" s="4" t="s">
        <v>176</v>
      </c>
      <c r="I29" s="5" t="s">
        <v>186</v>
      </c>
      <c r="J29" s="5" t="s">
        <v>220</v>
      </c>
      <c r="K29" s="6">
        <v>0</v>
      </c>
      <c r="L29" s="5" t="s">
        <v>217</v>
      </c>
    </row>
    <row r="30" spans="1:12">
      <c r="A30" s="3" t="s">
        <v>131</v>
      </c>
      <c r="B30" s="3" t="s">
        <v>132</v>
      </c>
      <c r="C30" s="3" t="s">
        <v>172</v>
      </c>
      <c r="D30" s="1">
        <v>46232</v>
      </c>
      <c r="E30" s="3" t="s">
        <v>173</v>
      </c>
      <c r="F30" s="3" t="s">
        <v>174</v>
      </c>
      <c r="G30" s="4" t="s">
        <v>175</v>
      </c>
      <c r="H30" s="4" t="s">
        <v>176</v>
      </c>
      <c r="I30" s="5" t="s">
        <v>194</v>
      </c>
      <c r="J30" s="5" t="s">
        <v>221</v>
      </c>
      <c r="K30" s="6">
        <v>0</v>
      </c>
      <c r="L30" s="5" t="s">
        <v>222</v>
      </c>
    </row>
    <row r="31" spans="1:12">
      <c r="A31" s="3" t="s">
        <v>131</v>
      </c>
      <c r="B31" s="3" t="s">
        <v>132</v>
      </c>
      <c r="C31" s="3" t="s">
        <v>172</v>
      </c>
      <c r="D31" s="1">
        <v>46233</v>
      </c>
      <c r="E31" s="3" t="s">
        <v>180</v>
      </c>
      <c r="F31" s="3" t="s">
        <v>174</v>
      </c>
      <c r="G31" s="4" t="s">
        <v>175</v>
      </c>
      <c r="H31" s="4" t="s">
        <v>176</v>
      </c>
      <c r="I31" s="5" t="s">
        <v>209</v>
      </c>
      <c r="J31" s="5" t="s">
        <v>223</v>
      </c>
      <c r="K31" s="6">
        <v>0</v>
      </c>
      <c r="L31" s="5" t="s">
        <v>208</v>
      </c>
    </row>
    <row r="32" spans="1:12">
      <c r="A32" s="3" t="s">
        <v>131</v>
      </c>
      <c r="B32" s="3" t="s">
        <v>132</v>
      </c>
      <c r="C32" s="3" t="s">
        <v>172</v>
      </c>
      <c r="D32" s="1">
        <v>46234</v>
      </c>
      <c r="E32" s="3" t="s">
        <v>183</v>
      </c>
      <c r="F32" s="3" t="s">
        <v>181</v>
      </c>
      <c r="G32" s="4" t="s">
        <v>175</v>
      </c>
      <c r="H32" s="4" t="s">
        <v>176</v>
      </c>
      <c r="I32" s="5"/>
      <c r="J32" s="5"/>
      <c r="K32" s="6">
        <v>0</v>
      </c>
      <c r="L32" s="5" t="s">
        <v>182</v>
      </c>
    </row>
    <row r="33" spans="1:12">
      <c r="A33" s="3" t="s">
        <v>135</v>
      </c>
      <c r="B33" s="3" t="s">
        <v>136</v>
      </c>
      <c r="C33" s="3" t="s">
        <v>172</v>
      </c>
      <c r="D33" s="1">
        <v>46204</v>
      </c>
      <c r="E33" s="3" t="s">
        <v>173</v>
      </c>
      <c r="F33" s="3" t="s">
        <v>174</v>
      </c>
      <c r="G33" s="4" t="s">
        <v>175</v>
      </c>
      <c r="H33" s="4" t="s">
        <v>176</v>
      </c>
      <c r="I33" s="5" t="s">
        <v>205</v>
      </c>
      <c r="J33" s="5" t="s">
        <v>224</v>
      </c>
      <c r="K33" s="6">
        <v>1</v>
      </c>
      <c r="L33" s="5" t="s">
        <v>225</v>
      </c>
    </row>
    <row r="34" spans="1:12">
      <c r="A34" s="3" t="s">
        <v>135</v>
      </c>
      <c r="B34" s="3" t="s">
        <v>136</v>
      </c>
      <c r="C34" s="3" t="s">
        <v>172</v>
      </c>
      <c r="D34" s="1">
        <v>46205</v>
      </c>
      <c r="E34" s="3" t="s">
        <v>180</v>
      </c>
      <c r="F34" s="3" t="s">
        <v>174</v>
      </c>
      <c r="G34" s="4" t="s">
        <v>175</v>
      </c>
      <c r="H34" s="4" t="s">
        <v>176</v>
      </c>
      <c r="I34" s="5" t="s">
        <v>209</v>
      </c>
      <c r="J34" s="5" t="s">
        <v>226</v>
      </c>
      <c r="K34" s="6">
        <v>1.5</v>
      </c>
      <c r="L34" s="5" t="s">
        <v>227</v>
      </c>
    </row>
    <row r="35" spans="1:12">
      <c r="A35" s="3" t="s">
        <v>135</v>
      </c>
      <c r="B35" s="3" t="s">
        <v>136</v>
      </c>
      <c r="C35" s="3" t="s">
        <v>172</v>
      </c>
      <c r="D35" s="1">
        <v>46206</v>
      </c>
      <c r="E35" s="3" t="s">
        <v>183</v>
      </c>
      <c r="F35" s="3" t="s">
        <v>174</v>
      </c>
      <c r="G35" s="4" t="s">
        <v>175</v>
      </c>
      <c r="H35" s="4" t="s">
        <v>176</v>
      </c>
      <c r="I35" s="5" t="s">
        <v>188</v>
      </c>
      <c r="J35" s="5" t="s">
        <v>228</v>
      </c>
      <c r="K35" s="6">
        <v>0</v>
      </c>
      <c r="L35" s="5" t="s">
        <v>186</v>
      </c>
    </row>
    <row r="36" spans="1:12">
      <c r="A36" s="3" t="s">
        <v>135</v>
      </c>
      <c r="B36" s="3" t="s">
        <v>136</v>
      </c>
      <c r="C36" s="3" t="s">
        <v>172</v>
      </c>
      <c r="D36" s="1">
        <v>46207</v>
      </c>
      <c r="E36" s="3" t="s">
        <v>187</v>
      </c>
      <c r="F36" s="3" t="s">
        <v>174</v>
      </c>
      <c r="G36" s="4" t="s">
        <v>175</v>
      </c>
      <c r="H36" s="4" t="s">
        <v>176</v>
      </c>
      <c r="I36" s="5" t="s">
        <v>184</v>
      </c>
      <c r="J36" s="5" t="s">
        <v>226</v>
      </c>
      <c r="K36" s="6">
        <v>1.5</v>
      </c>
      <c r="L36" s="5" t="s">
        <v>229</v>
      </c>
    </row>
    <row r="37" spans="1:12">
      <c r="A37" s="3" t="s">
        <v>135</v>
      </c>
      <c r="B37" s="3" t="s">
        <v>136</v>
      </c>
      <c r="C37" s="3" t="s">
        <v>172</v>
      </c>
      <c r="D37" s="1">
        <v>46208</v>
      </c>
      <c r="E37" s="3" t="s">
        <v>191</v>
      </c>
      <c r="F37" s="3" t="s">
        <v>192</v>
      </c>
      <c r="G37" s="4" t="s">
        <v>175</v>
      </c>
      <c r="H37" s="4" t="s">
        <v>176</v>
      </c>
      <c r="I37" s="5"/>
      <c r="J37" s="5"/>
      <c r="K37" s="6">
        <v>0</v>
      </c>
      <c r="L37" s="5"/>
    </row>
    <row r="38" spans="1:12">
      <c r="A38" s="3" t="s">
        <v>135</v>
      </c>
      <c r="B38" s="3" t="s">
        <v>136</v>
      </c>
      <c r="C38" s="3" t="s">
        <v>172</v>
      </c>
      <c r="D38" s="1">
        <v>46209</v>
      </c>
      <c r="E38" s="3" t="s">
        <v>193</v>
      </c>
      <c r="F38" s="3" t="s">
        <v>174</v>
      </c>
      <c r="G38" s="4" t="s">
        <v>175</v>
      </c>
      <c r="H38" s="4" t="s">
        <v>176</v>
      </c>
      <c r="I38" s="5" t="s">
        <v>219</v>
      </c>
      <c r="J38" s="5" t="s">
        <v>230</v>
      </c>
      <c r="K38" s="6">
        <v>1.5</v>
      </c>
      <c r="L38" s="5" t="s">
        <v>231</v>
      </c>
    </row>
    <row r="39" spans="1:12">
      <c r="A39" s="3" t="s">
        <v>135</v>
      </c>
      <c r="B39" s="3" t="s">
        <v>136</v>
      </c>
      <c r="C39" s="3" t="s">
        <v>172</v>
      </c>
      <c r="D39" s="1">
        <v>46210</v>
      </c>
      <c r="E39" s="3" t="s">
        <v>197</v>
      </c>
      <c r="F39" s="3" t="s">
        <v>174</v>
      </c>
      <c r="G39" s="4" t="s">
        <v>175</v>
      </c>
      <c r="H39" s="4" t="s">
        <v>176</v>
      </c>
      <c r="I39" s="5" t="s">
        <v>177</v>
      </c>
      <c r="J39" s="5" t="s">
        <v>232</v>
      </c>
      <c r="K39" s="6">
        <v>1.5</v>
      </c>
      <c r="L39" s="5" t="s">
        <v>233</v>
      </c>
    </row>
    <row r="40" spans="1:12">
      <c r="A40" s="3" t="s">
        <v>135</v>
      </c>
      <c r="B40" s="3" t="s">
        <v>136</v>
      </c>
      <c r="C40" s="3" t="s">
        <v>172</v>
      </c>
      <c r="D40" s="1">
        <v>46211</v>
      </c>
      <c r="E40" s="3" t="s">
        <v>173</v>
      </c>
      <c r="F40" s="3" t="s">
        <v>174</v>
      </c>
      <c r="G40" s="4" t="s">
        <v>175</v>
      </c>
      <c r="H40" s="4" t="s">
        <v>176</v>
      </c>
      <c r="I40" s="5" t="s">
        <v>234</v>
      </c>
      <c r="J40" s="5" t="s">
        <v>235</v>
      </c>
      <c r="K40" s="6">
        <v>1</v>
      </c>
      <c r="L40" s="5" t="s">
        <v>236</v>
      </c>
    </row>
    <row r="41" spans="1:12">
      <c r="A41" s="3" t="s">
        <v>135</v>
      </c>
      <c r="B41" s="3" t="s">
        <v>136</v>
      </c>
      <c r="C41" s="3" t="s">
        <v>172</v>
      </c>
      <c r="D41" s="1">
        <v>46212</v>
      </c>
      <c r="E41" s="3" t="s">
        <v>180</v>
      </c>
      <c r="F41" s="3" t="s">
        <v>174</v>
      </c>
      <c r="G41" s="4" t="s">
        <v>175</v>
      </c>
      <c r="H41" s="4" t="s">
        <v>176</v>
      </c>
      <c r="I41" s="5" t="s">
        <v>234</v>
      </c>
      <c r="J41" s="5" t="s">
        <v>237</v>
      </c>
      <c r="K41" s="6">
        <v>1.5</v>
      </c>
      <c r="L41" s="5" t="s">
        <v>238</v>
      </c>
    </row>
    <row r="42" spans="1:12">
      <c r="A42" s="3" t="s">
        <v>135</v>
      </c>
      <c r="B42" s="3" t="s">
        <v>136</v>
      </c>
      <c r="C42" s="3" t="s">
        <v>172</v>
      </c>
      <c r="D42" s="1">
        <v>46213</v>
      </c>
      <c r="E42" s="3" t="s">
        <v>183</v>
      </c>
      <c r="F42" s="3" t="s">
        <v>174</v>
      </c>
      <c r="G42" s="4" t="s">
        <v>175</v>
      </c>
      <c r="H42" s="4" t="s">
        <v>176</v>
      </c>
      <c r="I42" s="5" t="s">
        <v>186</v>
      </c>
      <c r="J42" s="5" t="s">
        <v>239</v>
      </c>
      <c r="K42" s="6">
        <v>1.5</v>
      </c>
      <c r="L42" s="5" t="s">
        <v>233</v>
      </c>
    </row>
    <row r="43" spans="1:12">
      <c r="A43" s="3" t="s">
        <v>135</v>
      </c>
      <c r="B43" s="3" t="s">
        <v>136</v>
      </c>
      <c r="C43" s="3" t="s">
        <v>172</v>
      </c>
      <c r="D43" s="1">
        <v>46214</v>
      </c>
      <c r="E43" s="3" t="s">
        <v>187</v>
      </c>
      <c r="F43" s="3" t="s">
        <v>174</v>
      </c>
      <c r="G43" s="4" t="s">
        <v>175</v>
      </c>
      <c r="H43" s="4" t="s">
        <v>176</v>
      </c>
      <c r="I43" s="5" t="s">
        <v>205</v>
      </c>
      <c r="J43" s="5" t="s">
        <v>226</v>
      </c>
      <c r="K43" s="6">
        <v>1.5</v>
      </c>
      <c r="L43" s="5" t="s">
        <v>240</v>
      </c>
    </row>
    <row r="44" spans="1:12">
      <c r="A44" s="3" t="s">
        <v>135</v>
      </c>
      <c r="B44" s="3" t="s">
        <v>136</v>
      </c>
      <c r="C44" s="3" t="s">
        <v>172</v>
      </c>
      <c r="D44" s="1">
        <v>46215</v>
      </c>
      <c r="E44" s="3" t="s">
        <v>191</v>
      </c>
      <c r="F44" s="3" t="s">
        <v>192</v>
      </c>
      <c r="G44" s="4" t="s">
        <v>175</v>
      </c>
      <c r="H44" s="4" t="s">
        <v>176</v>
      </c>
      <c r="I44" s="5"/>
      <c r="J44" s="5"/>
      <c r="K44" s="6"/>
      <c r="L44" s="5"/>
    </row>
    <row r="45" spans="1:12">
      <c r="A45" s="3" t="s">
        <v>135</v>
      </c>
      <c r="B45" s="3" t="s">
        <v>136</v>
      </c>
      <c r="C45" s="3" t="s">
        <v>172</v>
      </c>
      <c r="D45" s="1">
        <v>46216</v>
      </c>
      <c r="E45" s="3" t="s">
        <v>193</v>
      </c>
      <c r="F45" s="3" t="s">
        <v>174</v>
      </c>
      <c r="G45" s="4" t="s">
        <v>175</v>
      </c>
      <c r="H45" s="4" t="s">
        <v>176</v>
      </c>
      <c r="I45" s="5" t="s">
        <v>234</v>
      </c>
      <c r="J45" s="5" t="s">
        <v>241</v>
      </c>
      <c r="K45" s="6">
        <v>1.5</v>
      </c>
      <c r="L45" s="5" t="s">
        <v>227</v>
      </c>
    </row>
    <row r="46" spans="1:12">
      <c r="A46" s="3" t="s">
        <v>135</v>
      </c>
      <c r="B46" s="3" t="s">
        <v>136</v>
      </c>
      <c r="C46" s="3" t="s">
        <v>172</v>
      </c>
      <c r="D46" s="1">
        <v>46217</v>
      </c>
      <c r="E46" s="3" t="s">
        <v>197</v>
      </c>
      <c r="F46" s="3" t="s">
        <v>174</v>
      </c>
      <c r="G46" s="4" t="s">
        <v>175</v>
      </c>
      <c r="H46" s="4" t="s">
        <v>176</v>
      </c>
      <c r="I46" s="5" t="s">
        <v>208</v>
      </c>
      <c r="J46" s="5" t="s">
        <v>218</v>
      </c>
      <c r="K46" s="6">
        <v>0</v>
      </c>
      <c r="L46" s="5" t="s">
        <v>190</v>
      </c>
    </row>
    <row r="47" spans="1:12">
      <c r="A47" s="3" t="s">
        <v>135</v>
      </c>
      <c r="B47" s="3" t="s">
        <v>136</v>
      </c>
      <c r="C47" s="3" t="s">
        <v>172</v>
      </c>
      <c r="D47" s="1">
        <v>46218</v>
      </c>
      <c r="E47" s="3" t="s">
        <v>173</v>
      </c>
      <c r="F47" s="3" t="s">
        <v>174</v>
      </c>
      <c r="G47" s="4" t="s">
        <v>175</v>
      </c>
      <c r="H47" s="4" t="s">
        <v>176</v>
      </c>
      <c r="I47" s="5" t="s">
        <v>205</v>
      </c>
      <c r="J47" s="5" t="s">
        <v>242</v>
      </c>
      <c r="K47" s="6">
        <v>1.5</v>
      </c>
      <c r="L47" s="5" t="s">
        <v>243</v>
      </c>
    </row>
    <row r="48" spans="1:12">
      <c r="A48" s="3" t="s">
        <v>135</v>
      </c>
      <c r="B48" s="3" t="s">
        <v>136</v>
      </c>
      <c r="C48" s="3" t="s">
        <v>172</v>
      </c>
      <c r="D48" s="1">
        <v>46219</v>
      </c>
      <c r="E48" s="3" t="s">
        <v>180</v>
      </c>
      <c r="F48" s="3" t="s">
        <v>174</v>
      </c>
      <c r="G48" s="4" t="s">
        <v>175</v>
      </c>
      <c r="H48" s="4" t="s">
        <v>176</v>
      </c>
      <c r="I48" s="5" t="s">
        <v>184</v>
      </c>
      <c r="J48" s="5" t="s">
        <v>244</v>
      </c>
      <c r="K48" s="6">
        <v>1.5</v>
      </c>
      <c r="L48" s="5" t="s">
        <v>245</v>
      </c>
    </row>
    <row r="49" spans="1:12">
      <c r="A49" s="3" t="s">
        <v>135</v>
      </c>
      <c r="B49" s="3" t="s">
        <v>136</v>
      </c>
      <c r="C49" s="3" t="s">
        <v>172</v>
      </c>
      <c r="D49" s="1">
        <v>46220</v>
      </c>
      <c r="E49" s="3" t="s">
        <v>183</v>
      </c>
      <c r="F49" s="3" t="s">
        <v>174</v>
      </c>
      <c r="G49" s="4" t="s">
        <v>175</v>
      </c>
      <c r="H49" s="4" t="s">
        <v>176</v>
      </c>
      <c r="I49" s="5" t="s">
        <v>208</v>
      </c>
      <c r="J49" s="5" t="s">
        <v>246</v>
      </c>
      <c r="K49" s="6">
        <v>1.5</v>
      </c>
      <c r="L49" s="5" t="s">
        <v>247</v>
      </c>
    </row>
    <row r="50" spans="1:12">
      <c r="A50" s="3" t="s">
        <v>135</v>
      </c>
      <c r="B50" s="3" t="s">
        <v>136</v>
      </c>
      <c r="C50" s="3" t="s">
        <v>172</v>
      </c>
      <c r="D50" s="1">
        <v>46221</v>
      </c>
      <c r="E50" s="3" t="s">
        <v>187</v>
      </c>
      <c r="F50" s="3" t="s">
        <v>174</v>
      </c>
      <c r="G50" s="4" t="s">
        <v>175</v>
      </c>
      <c r="H50" s="4" t="s">
        <v>176</v>
      </c>
      <c r="I50" s="5" t="s">
        <v>177</v>
      </c>
      <c r="J50" s="5" t="s">
        <v>232</v>
      </c>
      <c r="K50" s="6">
        <v>1.5</v>
      </c>
      <c r="L50" s="5" t="s">
        <v>233</v>
      </c>
    </row>
    <row r="51" spans="1:12">
      <c r="A51" s="3" t="s">
        <v>135</v>
      </c>
      <c r="B51" s="3" t="s">
        <v>136</v>
      </c>
      <c r="C51" s="3" t="s">
        <v>172</v>
      </c>
      <c r="D51" s="1">
        <v>46222</v>
      </c>
      <c r="E51" s="3" t="s">
        <v>191</v>
      </c>
      <c r="F51" s="3" t="s">
        <v>192</v>
      </c>
      <c r="G51" s="4" t="s">
        <v>175</v>
      </c>
      <c r="H51" s="4" t="s">
        <v>176</v>
      </c>
      <c r="I51" s="5"/>
      <c r="J51" s="5"/>
      <c r="K51" s="6"/>
      <c r="L51" s="5"/>
    </row>
    <row r="52" spans="1:12">
      <c r="A52" s="3" t="s">
        <v>135</v>
      </c>
      <c r="B52" s="3" t="s">
        <v>136</v>
      </c>
      <c r="C52" s="3" t="s">
        <v>172</v>
      </c>
      <c r="D52" s="1">
        <v>46223</v>
      </c>
      <c r="E52" s="3" t="s">
        <v>193</v>
      </c>
      <c r="F52" s="3" t="s">
        <v>174</v>
      </c>
      <c r="G52" s="4" t="s">
        <v>175</v>
      </c>
      <c r="H52" s="4" t="s">
        <v>176</v>
      </c>
      <c r="I52" s="5" t="s">
        <v>186</v>
      </c>
      <c r="J52" s="5" t="s">
        <v>248</v>
      </c>
      <c r="K52" s="6">
        <v>1.5</v>
      </c>
      <c r="L52" s="5" t="s">
        <v>249</v>
      </c>
    </row>
    <row r="53" spans="1:12">
      <c r="A53" s="3" t="s">
        <v>135</v>
      </c>
      <c r="B53" s="3" t="s">
        <v>136</v>
      </c>
      <c r="C53" s="3" t="s">
        <v>172</v>
      </c>
      <c r="D53" s="1">
        <v>46224</v>
      </c>
      <c r="E53" s="3" t="s">
        <v>197</v>
      </c>
      <c r="F53" s="3" t="s">
        <v>174</v>
      </c>
      <c r="G53" s="4" t="s">
        <v>175</v>
      </c>
      <c r="H53" s="4" t="s">
        <v>176</v>
      </c>
      <c r="I53" s="5" t="s">
        <v>177</v>
      </c>
      <c r="J53" s="5" t="s">
        <v>250</v>
      </c>
      <c r="K53" s="6">
        <v>1.5</v>
      </c>
      <c r="L53" s="5" t="s">
        <v>251</v>
      </c>
    </row>
    <row r="54" spans="1:12">
      <c r="A54" s="3" t="s">
        <v>135</v>
      </c>
      <c r="B54" s="3" t="s">
        <v>136</v>
      </c>
      <c r="C54" s="3" t="s">
        <v>172</v>
      </c>
      <c r="D54" s="1">
        <v>46225</v>
      </c>
      <c r="E54" s="3" t="s">
        <v>173</v>
      </c>
      <c r="F54" s="3" t="s">
        <v>174</v>
      </c>
      <c r="G54" s="4" t="s">
        <v>175</v>
      </c>
      <c r="H54" s="4" t="s">
        <v>176</v>
      </c>
      <c r="I54" s="5" t="s">
        <v>252</v>
      </c>
      <c r="J54" s="5" t="s">
        <v>253</v>
      </c>
      <c r="K54" s="6">
        <v>0</v>
      </c>
      <c r="L54" s="5" t="s">
        <v>200</v>
      </c>
    </row>
    <row r="55" spans="1:12">
      <c r="A55" s="3" t="s">
        <v>135</v>
      </c>
      <c r="B55" s="3" t="s">
        <v>136</v>
      </c>
      <c r="C55" s="3" t="s">
        <v>172</v>
      </c>
      <c r="D55" s="1">
        <v>46226</v>
      </c>
      <c r="E55" s="3" t="s">
        <v>180</v>
      </c>
      <c r="F55" s="3" t="s">
        <v>174</v>
      </c>
      <c r="G55" s="4" t="s">
        <v>175</v>
      </c>
      <c r="H55" s="4" t="s">
        <v>176</v>
      </c>
      <c r="I55" s="5" t="s">
        <v>234</v>
      </c>
      <c r="J55" s="5" t="s">
        <v>254</v>
      </c>
      <c r="K55" s="6">
        <v>0</v>
      </c>
      <c r="L55" s="5" t="s">
        <v>205</v>
      </c>
    </row>
    <row r="56" spans="1:12">
      <c r="A56" s="3" t="s">
        <v>135</v>
      </c>
      <c r="B56" s="3" t="s">
        <v>136</v>
      </c>
      <c r="C56" s="3" t="s">
        <v>172</v>
      </c>
      <c r="D56" s="1">
        <v>46227</v>
      </c>
      <c r="E56" s="3" t="s">
        <v>183</v>
      </c>
      <c r="F56" s="3" t="s">
        <v>174</v>
      </c>
      <c r="G56" s="4" t="s">
        <v>175</v>
      </c>
      <c r="H56" s="4" t="s">
        <v>176</v>
      </c>
      <c r="I56" s="5" t="s">
        <v>177</v>
      </c>
      <c r="J56" s="5" t="s">
        <v>255</v>
      </c>
      <c r="K56" s="6">
        <v>1.5</v>
      </c>
      <c r="L56" s="5" t="s">
        <v>256</v>
      </c>
    </row>
    <row r="57" spans="1:12">
      <c r="A57" s="3" t="s">
        <v>135</v>
      </c>
      <c r="B57" s="3" t="s">
        <v>136</v>
      </c>
      <c r="C57" s="3" t="s">
        <v>172</v>
      </c>
      <c r="D57" s="1">
        <v>46228</v>
      </c>
      <c r="E57" s="3" t="s">
        <v>187</v>
      </c>
      <c r="F57" s="3" t="s">
        <v>174</v>
      </c>
      <c r="G57" s="4" t="s">
        <v>175</v>
      </c>
      <c r="H57" s="4" t="s">
        <v>176</v>
      </c>
      <c r="I57" s="5" t="s">
        <v>252</v>
      </c>
      <c r="J57" s="5" t="s">
        <v>257</v>
      </c>
      <c r="K57" s="6">
        <v>1.5</v>
      </c>
      <c r="L57" s="5" t="s">
        <v>258</v>
      </c>
    </row>
    <row r="58" spans="1:12">
      <c r="A58" s="3" t="s">
        <v>135</v>
      </c>
      <c r="B58" s="3" t="s">
        <v>136</v>
      </c>
      <c r="C58" s="3" t="s">
        <v>172</v>
      </c>
      <c r="D58" s="1">
        <v>46229</v>
      </c>
      <c r="E58" s="3" t="s">
        <v>191</v>
      </c>
      <c r="F58" s="3" t="s">
        <v>192</v>
      </c>
      <c r="G58" s="4" t="s">
        <v>175</v>
      </c>
      <c r="H58" s="4" t="s">
        <v>176</v>
      </c>
      <c r="I58" s="5"/>
      <c r="J58" s="5"/>
      <c r="K58" s="6"/>
      <c r="L58" s="5"/>
    </row>
    <row r="59" spans="1:12">
      <c r="A59" s="3" t="s">
        <v>135</v>
      </c>
      <c r="B59" s="3" t="s">
        <v>136</v>
      </c>
      <c r="C59" s="3" t="s">
        <v>172</v>
      </c>
      <c r="D59" s="1">
        <v>46230</v>
      </c>
      <c r="E59" s="3" t="s">
        <v>193</v>
      </c>
      <c r="F59" s="3" t="s">
        <v>174</v>
      </c>
      <c r="G59" s="4" t="s">
        <v>175</v>
      </c>
      <c r="H59" s="4" t="s">
        <v>176</v>
      </c>
      <c r="I59" s="5" t="s">
        <v>219</v>
      </c>
      <c r="J59" s="5" t="s">
        <v>206</v>
      </c>
      <c r="K59" s="6">
        <v>0</v>
      </c>
      <c r="L59" s="5" t="s">
        <v>198</v>
      </c>
    </row>
    <row r="60" spans="1:12">
      <c r="A60" s="3" t="s">
        <v>135</v>
      </c>
      <c r="B60" s="3" t="s">
        <v>136</v>
      </c>
      <c r="C60" s="3" t="s">
        <v>172</v>
      </c>
      <c r="D60" s="1">
        <v>46231</v>
      </c>
      <c r="E60" s="3" t="s">
        <v>197</v>
      </c>
      <c r="F60" s="3" t="s">
        <v>174</v>
      </c>
      <c r="G60" s="4" t="s">
        <v>175</v>
      </c>
      <c r="H60" s="4" t="s">
        <v>176</v>
      </c>
      <c r="I60" s="5" t="s">
        <v>198</v>
      </c>
      <c r="J60" s="5" t="s">
        <v>248</v>
      </c>
      <c r="K60" s="6">
        <v>1.5</v>
      </c>
      <c r="L60" s="5" t="s">
        <v>243</v>
      </c>
    </row>
    <row r="61" spans="1:12">
      <c r="A61" s="3" t="s">
        <v>135</v>
      </c>
      <c r="B61" s="3" t="s">
        <v>136</v>
      </c>
      <c r="C61" s="3" t="s">
        <v>172</v>
      </c>
      <c r="D61" s="1">
        <v>46232</v>
      </c>
      <c r="E61" s="3" t="s">
        <v>173</v>
      </c>
      <c r="F61" s="3" t="s">
        <v>174</v>
      </c>
      <c r="G61" s="4" t="s">
        <v>175</v>
      </c>
      <c r="H61" s="4" t="s">
        <v>176</v>
      </c>
      <c r="I61" s="5" t="s">
        <v>202</v>
      </c>
      <c r="J61" s="5" t="s">
        <v>255</v>
      </c>
      <c r="K61" s="6">
        <v>1.5</v>
      </c>
      <c r="L61" s="5" t="s">
        <v>227</v>
      </c>
    </row>
    <row r="62" spans="1:12">
      <c r="A62" s="3" t="s">
        <v>135</v>
      </c>
      <c r="B62" s="3" t="s">
        <v>136</v>
      </c>
      <c r="C62" s="3" t="s">
        <v>172</v>
      </c>
      <c r="D62" s="1">
        <v>46233</v>
      </c>
      <c r="E62" s="3" t="s">
        <v>180</v>
      </c>
      <c r="F62" s="3" t="s">
        <v>174</v>
      </c>
      <c r="G62" s="4" t="s">
        <v>175</v>
      </c>
      <c r="H62" s="4" t="s">
        <v>176</v>
      </c>
      <c r="I62" s="5" t="s">
        <v>209</v>
      </c>
      <c r="J62" s="5" t="s">
        <v>259</v>
      </c>
      <c r="K62" s="6">
        <v>1.5</v>
      </c>
      <c r="L62" s="5" t="s">
        <v>260</v>
      </c>
    </row>
    <row r="63" spans="1:12">
      <c r="A63" s="3" t="s">
        <v>135</v>
      </c>
      <c r="B63" s="3" t="s">
        <v>136</v>
      </c>
      <c r="C63" s="3" t="s">
        <v>172</v>
      </c>
      <c r="D63" s="1">
        <v>46234</v>
      </c>
      <c r="E63" s="3" t="s">
        <v>183</v>
      </c>
      <c r="F63" s="3" t="s">
        <v>174</v>
      </c>
      <c r="G63" s="4" t="s">
        <v>175</v>
      </c>
      <c r="H63" s="4" t="s">
        <v>176</v>
      </c>
      <c r="I63" s="5" t="s">
        <v>211</v>
      </c>
      <c r="J63" s="5" t="s">
        <v>261</v>
      </c>
      <c r="K63" s="6">
        <v>1.5</v>
      </c>
      <c r="L63" s="5" t="s">
        <v>262</v>
      </c>
    </row>
    <row r="64" spans="1:12">
      <c r="A64" s="3" t="s">
        <v>138</v>
      </c>
      <c r="B64" s="3" t="s">
        <v>139</v>
      </c>
      <c r="C64" s="3" t="s">
        <v>172</v>
      </c>
      <c r="D64" s="1">
        <v>46204</v>
      </c>
      <c r="E64" s="3" t="s">
        <v>173</v>
      </c>
      <c r="F64" s="3" t="s">
        <v>181</v>
      </c>
      <c r="G64" s="4" t="s">
        <v>175</v>
      </c>
      <c r="H64" s="4" t="s">
        <v>176</v>
      </c>
      <c r="I64" s="5"/>
      <c r="J64" s="5"/>
      <c r="K64" s="6">
        <v>0</v>
      </c>
      <c r="L64" s="5" t="s">
        <v>182</v>
      </c>
    </row>
    <row r="65" spans="1:12">
      <c r="A65" s="3" t="s">
        <v>138</v>
      </c>
      <c r="B65" s="3" t="s">
        <v>139</v>
      </c>
      <c r="C65" s="3" t="s">
        <v>172</v>
      </c>
      <c r="D65" s="1">
        <v>46205</v>
      </c>
      <c r="E65" s="3" t="s">
        <v>180</v>
      </c>
      <c r="F65" s="3" t="s">
        <v>174</v>
      </c>
      <c r="G65" s="4" t="s">
        <v>175</v>
      </c>
      <c r="H65" s="4" t="s">
        <v>176</v>
      </c>
      <c r="I65" s="5" t="s">
        <v>209</v>
      </c>
      <c r="J65" s="5" t="s">
        <v>207</v>
      </c>
      <c r="K65" s="6">
        <v>0</v>
      </c>
      <c r="L65" s="5" t="s">
        <v>263</v>
      </c>
    </row>
    <row r="66" spans="1:12">
      <c r="A66" s="3" t="s">
        <v>138</v>
      </c>
      <c r="B66" s="3" t="s">
        <v>139</v>
      </c>
      <c r="C66" s="3" t="s">
        <v>172</v>
      </c>
      <c r="D66" s="1">
        <v>46206</v>
      </c>
      <c r="E66" s="3" t="s">
        <v>183</v>
      </c>
      <c r="F66" s="3" t="s">
        <v>181</v>
      </c>
      <c r="G66" s="4" t="s">
        <v>175</v>
      </c>
      <c r="H66" s="4" t="s">
        <v>176</v>
      </c>
      <c r="I66" s="5"/>
      <c r="J66" s="5"/>
      <c r="K66" s="6">
        <v>0</v>
      </c>
      <c r="L66" s="5" t="s">
        <v>182</v>
      </c>
    </row>
    <row r="67" spans="1:12">
      <c r="A67" s="3" t="s">
        <v>138</v>
      </c>
      <c r="B67" s="3" t="s">
        <v>139</v>
      </c>
      <c r="C67" s="3" t="s">
        <v>172</v>
      </c>
      <c r="D67" s="1">
        <v>46207</v>
      </c>
      <c r="E67" s="3" t="s">
        <v>187</v>
      </c>
      <c r="F67" s="3" t="s">
        <v>174</v>
      </c>
      <c r="G67" s="4" t="s">
        <v>175</v>
      </c>
      <c r="H67" s="4" t="s">
        <v>176</v>
      </c>
      <c r="I67" s="5" t="s">
        <v>209</v>
      </c>
      <c r="J67" s="5" t="s">
        <v>199</v>
      </c>
      <c r="K67" s="6">
        <v>0</v>
      </c>
      <c r="L67" s="5" t="s">
        <v>196</v>
      </c>
    </row>
    <row r="68" spans="1:12">
      <c r="A68" s="3" t="s">
        <v>138</v>
      </c>
      <c r="B68" s="3" t="s">
        <v>139</v>
      </c>
      <c r="C68" s="3" t="s">
        <v>172</v>
      </c>
      <c r="D68" s="1">
        <v>46208</v>
      </c>
      <c r="E68" s="3" t="s">
        <v>191</v>
      </c>
      <c r="F68" s="3" t="s">
        <v>192</v>
      </c>
      <c r="G68" s="4" t="s">
        <v>175</v>
      </c>
      <c r="H68" s="4" t="s">
        <v>176</v>
      </c>
      <c r="I68" s="5"/>
      <c r="J68" s="5"/>
      <c r="K68" s="6"/>
      <c r="L68" s="5"/>
    </row>
    <row r="69" spans="1:12">
      <c r="A69" s="3" t="s">
        <v>138</v>
      </c>
      <c r="B69" s="3" t="s">
        <v>139</v>
      </c>
      <c r="C69" s="3" t="s">
        <v>172</v>
      </c>
      <c r="D69" s="1">
        <v>46209</v>
      </c>
      <c r="E69" s="3" t="s">
        <v>193</v>
      </c>
      <c r="F69" s="3" t="s">
        <v>174</v>
      </c>
      <c r="G69" s="4" t="s">
        <v>175</v>
      </c>
      <c r="H69" s="4" t="s">
        <v>176</v>
      </c>
      <c r="I69" s="5" t="s">
        <v>209</v>
      </c>
      <c r="J69" s="5" t="s">
        <v>264</v>
      </c>
      <c r="K69" s="6">
        <v>0</v>
      </c>
      <c r="L69" s="5" t="s">
        <v>202</v>
      </c>
    </row>
    <row r="70" spans="1:12">
      <c r="A70" s="3" t="s">
        <v>138</v>
      </c>
      <c r="B70" s="3" t="s">
        <v>139</v>
      </c>
      <c r="C70" s="3" t="s">
        <v>172</v>
      </c>
      <c r="D70" s="1">
        <v>46210</v>
      </c>
      <c r="E70" s="3" t="s">
        <v>197</v>
      </c>
      <c r="F70" s="3" t="s">
        <v>174</v>
      </c>
      <c r="G70" s="4" t="s">
        <v>175</v>
      </c>
      <c r="H70" s="4" t="s">
        <v>176</v>
      </c>
      <c r="I70" s="5" t="s">
        <v>205</v>
      </c>
      <c r="J70" s="5" t="s">
        <v>199</v>
      </c>
      <c r="K70" s="6">
        <v>0</v>
      </c>
      <c r="L70" s="5" t="s">
        <v>219</v>
      </c>
    </row>
    <row r="71" spans="1:12">
      <c r="A71" s="3" t="s">
        <v>138</v>
      </c>
      <c r="B71" s="3" t="s">
        <v>139</v>
      </c>
      <c r="C71" s="3" t="s">
        <v>172</v>
      </c>
      <c r="D71" s="1">
        <v>46211</v>
      </c>
      <c r="E71" s="3" t="s">
        <v>173</v>
      </c>
      <c r="F71" s="3" t="s">
        <v>174</v>
      </c>
      <c r="G71" s="4" t="s">
        <v>175</v>
      </c>
      <c r="H71" s="4" t="s">
        <v>176</v>
      </c>
      <c r="I71" s="5" t="s">
        <v>211</v>
      </c>
      <c r="J71" s="5" t="s">
        <v>210</v>
      </c>
      <c r="K71" s="6">
        <v>0</v>
      </c>
      <c r="L71" s="5" t="s">
        <v>184</v>
      </c>
    </row>
    <row r="72" spans="1:12">
      <c r="A72" s="3" t="s">
        <v>138</v>
      </c>
      <c r="B72" s="3" t="s">
        <v>139</v>
      </c>
      <c r="C72" s="3" t="s">
        <v>172</v>
      </c>
      <c r="D72" s="1">
        <v>46212</v>
      </c>
      <c r="E72" s="3" t="s">
        <v>180</v>
      </c>
      <c r="F72" s="3" t="s">
        <v>181</v>
      </c>
      <c r="G72" s="4" t="s">
        <v>175</v>
      </c>
      <c r="H72" s="4" t="s">
        <v>176</v>
      </c>
      <c r="I72" s="5"/>
      <c r="J72" s="5"/>
      <c r="K72" s="6">
        <v>0</v>
      </c>
      <c r="L72" s="5" t="s">
        <v>182</v>
      </c>
    </row>
    <row r="73" spans="1:12">
      <c r="A73" s="3" t="s">
        <v>138</v>
      </c>
      <c r="B73" s="3" t="s">
        <v>139</v>
      </c>
      <c r="C73" s="3" t="s">
        <v>172</v>
      </c>
      <c r="D73" s="1">
        <v>46213</v>
      </c>
      <c r="E73" s="3" t="s">
        <v>183</v>
      </c>
      <c r="F73" s="3" t="s">
        <v>181</v>
      </c>
      <c r="G73" s="4" t="s">
        <v>175</v>
      </c>
      <c r="H73" s="4" t="s">
        <v>176</v>
      </c>
      <c r="I73" s="5"/>
      <c r="J73" s="5"/>
      <c r="K73" s="6">
        <v>0</v>
      </c>
      <c r="L73" s="5" t="s">
        <v>182</v>
      </c>
    </row>
    <row r="74" spans="1:12">
      <c r="A74" s="3" t="s">
        <v>138</v>
      </c>
      <c r="B74" s="3" t="s">
        <v>139</v>
      </c>
      <c r="C74" s="3" t="s">
        <v>172</v>
      </c>
      <c r="D74" s="1">
        <v>46214</v>
      </c>
      <c r="E74" s="3" t="s">
        <v>187</v>
      </c>
      <c r="F74" s="3" t="s">
        <v>174</v>
      </c>
      <c r="G74" s="4" t="s">
        <v>175</v>
      </c>
      <c r="H74" s="4" t="s">
        <v>176</v>
      </c>
      <c r="I74" s="5" t="s">
        <v>205</v>
      </c>
      <c r="J74" s="5" t="s">
        <v>265</v>
      </c>
      <c r="K74" s="6">
        <v>0</v>
      </c>
      <c r="L74" s="5" t="s">
        <v>222</v>
      </c>
    </row>
    <row r="75" spans="1:12">
      <c r="A75" s="3" t="s">
        <v>138</v>
      </c>
      <c r="B75" s="3" t="s">
        <v>139</v>
      </c>
      <c r="C75" s="3" t="s">
        <v>172</v>
      </c>
      <c r="D75" s="1">
        <v>46215</v>
      </c>
      <c r="E75" s="3" t="s">
        <v>191</v>
      </c>
      <c r="F75" s="3" t="s">
        <v>192</v>
      </c>
      <c r="G75" s="4" t="s">
        <v>175</v>
      </c>
      <c r="H75" s="4" t="s">
        <v>176</v>
      </c>
      <c r="I75" s="5"/>
      <c r="J75" s="5"/>
      <c r="K75" s="6"/>
      <c r="L75" s="5"/>
    </row>
    <row r="76" spans="1:12">
      <c r="A76" s="3" t="s">
        <v>138</v>
      </c>
      <c r="B76" s="3" t="s">
        <v>139</v>
      </c>
      <c r="C76" s="3" t="s">
        <v>172</v>
      </c>
      <c r="D76" s="1">
        <v>46216</v>
      </c>
      <c r="E76" s="3" t="s">
        <v>193</v>
      </c>
      <c r="F76" s="3" t="s">
        <v>181</v>
      </c>
      <c r="G76" s="4" t="s">
        <v>175</v>
      </c>
      <c r="H76" s="4" t="s">
        <v>176</v>
      </c>
      <c r="I76" s="5"/>
      <c r="J76" s="5"/>
      <c r="K76" s="6">
        <v>0</v>
      </c>
      <c r="L76" s="5" t="s">
        <v>182</v>
      </c>
    </row>
    <row r="77" spans="1:12">
      <c r="A77" s="3" t="s">
        <v>138</v>
      </c>
      <c r="B77" s="3" t="s">
        <v>139</v>
      </c>
      <c r="C77" s="3" t="s">
        <v>172</v>
      </c>
      <c r="D77" s="1">
        <v>46217</v>
      </c>
      <c r="E77" s="3" t="s">
        <v>197</v>
      </c>
      <c r="F77" s="3" t="s">
        <v>174</v>
      </c>
      <c r="G77" s="4" t="s">
        <v>175</v>
      </c>
      <c r="H77" s="4" t="s">
        <v>176</v>
      </c>
      <c r="I77" s="5" t="s">
        <v>209</v>
      </c>
      <c r="J77" s="5" t="s">
        <v>266</v>
      </c>
      <c r="K77" s="6">
        <v>0</v>
      </c>
      <c r="L77" s="5" t="s">
        <v>252</v>
      </c>
    </row>
    <row r="78" spans="1:12">
      <c r="A78" s="3" t="s">
        <v>138</v>
      </c>
      <c r="B78" s="3" t="s">
        <v>139</v>
      </c>
      <c r="C78" s="3" t="s">
        <v>172</v>
      </c>
      <c r="D78" s="1">
        <v>46218</v>
      </c>
      <c r="E78" s="3" t="s">
        <v>173</v>
      </c>
      <c r="F78" s="3" t="s">
        <v>174</v>
      </c>
      <c r="G78" s="4" t="s">
        <v>175</v>
      </c>
      <c r="H78" s="4" t="s">
        <v>176</v>
      </c>
      <c r="I78" s="5" t="s">
        <v>211</v>
      </c>
      <c r="J78" s="5" t="s">
        <v>195</v>
      </c>
      <c r="K78" s="6">
        <v>0</v>
      </c>
      <c r="L78" s="5" t="s">
        <v>215</v>
      </c>
    </row>
    <row r="79" spans="1:12">
      <c r="A79" s="3" t="s">
        <v>138</v>
      </c>
      <c r="B79" s="3" t="s">
        <v>139</v>
      </c>
      <c r="C79" s="3" t="s">
        <v>172</v>
      </c>
      <c r="D79" s="1">
        <v>46219</v>
      </c>
      <c r="E79" s="3" t="s">
        <v>180</v>
      </c>
      <c r="F79" s="3" t="s">
        <v>174</v>
      </c>
      <c r="G79" s="4" t="s">
        <v>175</v>
      </c>
      <c r="H79" s="4" t="s">
        <v>176</v>
      </c>
      <c r="I79" s="5" t="s">
        <v>188</v>
      </c>
      <c r="J79" s="5" t="s">
        <v>221</v>
      </c>
      <c r="K79" s="6">
        <v>0</v>
      </c>
      <c r="L79" s="5" t="s">
        <v>267</v>
      </c>
    </row>
    <row r="80" spans="1:12">
      <c r="A80" s="3" t="s">
        <v>138</v>
      </c>
      <c r="B80" s="3" t="s">
        <v>139</v>
      </c>
      <c r="C80" s="3" t="s">
        <v>172</v>
      </c>
      <c r="D80" s="1">
        <v>46220</v>
      </c>
      <c r="E80" s="3" t="s">
        <v>183</v>
      </c>
      <c r="F80" s="3" t="s">
        <v>174</v>
      </c>
      <c r="G80" s="4" t="s">
        <v>175</v>
      </c>
      <c r="H80" s="4" t="s">
        <v>176</v>
      </c>
      <c r="I80" s="5" t="s">
        <v>219</v>
      </c>
      <c r="J80" s="5" t="s">
        <v>185</v>
      </c>
      <c r="K80" s="6">
        <v>0</v>
      </c>
      <c r="L80" s="5" t="s">
        <v>209</v>
      </c>
    </row>
    <row r="81" spans="1:12">
      <c r="A81" s="3" t="s">
        <v>138</v>
      </c>
      <c r="B81" s="3" t="s">
        <v>139</v>
      </c>
      <c r="C81" s="3" t="s">
        <v>172</v>
      </c>
      <c r="D81" s="1">
        <v>46221</v>
      </c>
      <c r="E81" s="3" t="s">
        <v>187</v>
      </c>
      <c r="F81" s="3" t="s">
        <v>181</v>
      </c>
      <c r="G81" s="4" t="s">
        <v>175</v>
      </c>
      <c r="H81" s="4" t="s">
        <v>176</v>
      </c>
      <c r="I81" s="5"/>
      <c r="J81" s="5"/>
      <c r="K81" s="6">
        <v>0</v>
      </c>
      <c r="L81" s="5" t="s">
        <v>182</v>
      </c>
    </row>
    <row r="82" spans="1:12">
      <c r="A82" s="3" t="s">
        <v>138</v>
      </c>
      <c r="B82" s="3" t="s">
        <v>139</v>
      </c>
      <c r="C82" s="3" t="s">
        <v>172</v>
      </c>
      <c r="D82" s="1">
        <v>46222</v>
      </c>
      <c r="E82" s="3" t="s">
        <v>191</v>
      </c>
      <c r="F82" s="3" t="s">
        <v>192</v>
      </c>
      <c r="G82" s="4" t="s">
        <v>175</v>
      </c>
      <c r="H82" s="4" t="s">
        <v>176</v>
      </c>
      <c r="I82" s="5"/>
      <c r="J82" s="5"/>
      <c r="K82" s="6"/>
      <c r="L82" s="5"/>
    </row>
    <row r="83" spans="1:12">
      <c r="A83" s="3" t="s">
        <v>138</v>
      </c>
      <c r="B83" s="3" t="s">
        <v>139</v>
      </c>
      <c r="C83" s="3" t="s">
        <v>172</v>
      </c>
      <c r="D83" s="1">
        <v>46223</v>
      </c>
      <c r="E83" s="3" t="s">
        <v>193</v>
      </c>
      <c r="F83" s="3" t="s">
        <v>174</v>
      </c>
      <c r="G83" s="4" t="s">
        <v>175</v>
      </c>
      <c r="H83" s="4" t="s">
        <v>176</v>
      </c>
      <c r="I83" s="5" t="s">
        <v>234</v>
      </c>
      <c r="J83" s="5" t="s">
        <v>268</v>
      </c>
      <c r="K83" s="6">
        <v>0</v>
      </c>
      <c r="L83" s="5" t="s">
        <v>263</v>
      </c>
    </row>
    <row r="84" spans="1:12">
      <c r="A84" s="3" t="s">
        <v>138</v>
      </c>
      <c r="B84" s="3" t="s">
        <v>139</v>
      </c>
      <c r="C84" s="3" t="s">
        <v>172</v>
      </c>
      <c r="D84" s="1">
        <v>46224</v>
      </c>
      <c r="E84" s="3" t="s">
        <v>197</v>
      </c>
      <c r="F84" s="3" t="s">
        <v>174</v>
      </c>
      <c r="G84" s="4" t="s">
        <v>175</v>
      </c>
      <c r="H84" s="4" t="s">
        <v>176</v>
      </c>
      <c r="I84" s="5" t="s">
        <v>269</v>
      </c>
      <c r="J84" s="5" t="s">
        <v>270</v>
      </c>
      <c r="K84" s="6">
        <v>0</v>
      </c>
      <c r="L84" s="5" t="s">
        <v>267</v>
      </c>
    </row>
    <row r="85" spans="1:12">
      <c r="A85" s="3" t="s">
        <v>138</v>
      </c>
      <c r="B85" s="3" t="s">
        <v>139</v>
      </c>
      <c r="C85" s="3" t="s">
        <v>172</v>
      </c>
      <c r="D85" s="1">
        <v>46225</v>
      </c>
      <c r="E85" s="3" t="s">
        <v>173</v>
      </c>
      <c r="F85" s="3" t="s">
        <v>174</v>
      </c>
      <c r="G85" s="4" t="s">
        <v>175</v>
      </c>
      <c r="H85" s="4" t="s">
        <v>176</v>
      </c>
      <c r="I85" s="5" t="s">
        <v>194</v>
      </c>
      <c r="J85" s="5" t="s">
        <v>206</v>
      </c>
      <c r="K85" s="6">
        <v>0</v>
      </c>
      <c r="L85" s="5" t="s">
        <v>184</v>
      </c>
    </row>
    <row r="86" spans="1:12">
      <c r="A86" s="3" t="s">
        <v>138</v>
      </c>
      <c r="B86" s="3" t="s">
        <v>139</v>
      </c>
      <c r="C86" s="3" t="s">
        <v>172</v>
      </c>
      <c r="D86" s="1">
        <v>46226</v>
      </c>
      <c r="E86" s="3" t="s">
        <v>180</v>
      </c>
      <c r="F86" s="3" t="s">
        <v>174</v>
      </c>
      <c r="G86" s="4" t="s">
        <v>175</v>
      </c>
      <c r="H86" s="4" t="s">
        <v>176</v>
      </c>
      <c r="I86" s="5" t="s">
        <v>198</v>
      </c>
      <c r="J86" s="5" t="s">
        <v>271</v>
      </c>
      <c r="K86" s="6">
        <v>0</v>
      </c>
      <c r="L86" s="5" t="s">
        <v>263</v>
      </c>
    </row>
    <row r="87" spans="1:12">
      <c r="A87" s="3" t="s">
        <v>138</v>
      </c>
      <c r="B87" s="3" t="s">
        <v>139</v>
      </c>
      <c r="C87" s="3" t="s">
        <v>172</v>
      </c>
      <c r="D87" s="1">
        <v>46227</v>
      </c>
      <c r="E87" s="3" t="s">
        <v>183</v>
      </c>
      <c r="F87" s="3" t="s">
        <v>174</v>
      </c>
      <c r="G87" s="4" t="s">
        <v>175</v>
      </c>
      <c r="H87" s="4" t="s">
        <v>176</v>
      </c>
      <c r="I87" s="5" t="s">
        <v>252</v>
      </c>
      <c r="J87" s="5" t="s">
        <v>272</v>
      </c>
      <c r="K87" s="6">
        <v>0</v>
      </c>
      <c r="L87" s="5" t="s">
        <v>188</v>
      </c>
    </row>
    <row r="88" spans="1:12">
      <c r="A88" s="3" t="s">
        <v>138</v>
      </c>
      <c r="B88" s="3" t="s">
        <v>139</v>
      </c>
      <c r="C88" s="3" t="s">
        <v>172</v>
      </c>
      <c r="D88" s="1">
        <v>46228</v>
      </c>
      <c r="E88" s="3" t="s">
        <v>187</v>
      </c>
      <c r="F88" s="3" t="s">
        <v>181</v>
      </c>
      <c r="G88" s="4" t="s">
        <v>175</v>
      </c>
      <c r="H88" s="4" t="s">
        <v>176</v>
      </c>
      <c r="I88" s="5"/>
      <c r="J88" s="5"/>
      <c r="K88" s="6">
        <v>0</v>
      </c>
      <c r="L88" s="5" t="s">
        <v>182</v>
      </c>
    </row>
    <row r="89" spans="1:12">
      <c r="A89" s="3" t="s">
        <v>138</v>
      </c>
      <c r="B89" s="3" t="s">
        <v>139</v>
      </c>
      <c r="C89" s="3" t="s">
        <v>172</v>
      </c>
      <c r="D89" s="1">
        <v>46229</v>
      </c>
      <c r="E89" s="3" t="s">
        <v>191</v>
      </c>
      <c r="F89" s="3" t="s">
        <v>192</v>
      </c>
      <c r="G89" s="4" t="s">
        <v>175</v>
      </c>
      <c r="H89" s="4" t="s">
        <v>176</v>
      </c>
      <c r="I89" s="5"/>
      <c r="J89" s="5"/>
      <c r="K89" s="6"/>
      <c r="L89" s="5"/>
    </row>
    <row r="90" spans="1:12">
      <c r="A90" s="3" t="s">
        <v>138</v>
      </c>
      <c r="B90" s="3" t="s">
        <v>139</v>
      </c>
      <c r="C90" s="3" t="s">
        <v>172</v>
      </c>
      <c r="D90" s="1">
        <v>46230</v>
      </c>
      <c r="E90" s="3" t="s">
        <v>193</v>
      </c>
      <c r="F90" s="3" t="s">
        <v>174</v>
      </c>
      <c r="G90" s="4" t="s">
        <v>175</v>
      </c>
      <c r="H90" s="4" t="s">
        <v>176</v>
      </c>
      <c r="I90" s="5" t="s">
        <v>269</v>
      </c>
      <c r="J90" s="5" t="s">
        <v>273</v>
      </c>
      <c r="K90" s="6">
        <v>0</v>
      </c>
      <c r="L90" s="5" t="s">
        <v>274</v>
      </c>
    </row>
    <row r="91" spans="1:12">
      <c r="A91" s="3" t="s">
        <v>138</v>
      </c>
      <c r="B91" s="3" t="s">
        <v>139</v>
      </c>
      <c r="C91" s="3" t="s">
        <v>172</v>
      </c>
      <c r="D91" s="1">
        <v>46231</v>
      </c>
      <c r="E91" s="3" t="s">
        <v>197</v>
      </c>
      <c r="F91" s="3" t="s">
        <v>174</v>
      </c>
      <c r="G91" s="4" t="s">
        <v>175</v>
      </c>
      <c r="H91" s="4" t="s">
        <v>176</v>
      </c>
      <c r="I91" s="5" t="s">
        <v>184</v>
      </c>
      <c r="J91" s="5" t="s">
        <v>221</v>
      </c>
      <c r="K91" s="6">
        <v>0</v>
      </c>
      <c r="L91" s="5" t="s">
        <v>217</v>
      </c>
    </row>
    <row r="92" spans="1:12">
      <c r="A92" s="3" t="s">
        <v>138</v>
      </c>
      <c r="B92" s="3" t="s">
        <v>139</v>
      </c>
      <c r="C92" s="3" t="s">
        <v>172</v>
      </c>
      <c r="D92" s="1">
        <v>46232</v>
      </c>
      <c r="E92" s="3" t="s">
        <v>173</v>
      </c>
      <c r="F92" s="3" t="s">
        <v>174</v>
      </c>
      <c r="G92" s="4" t="s">
        <v>175</v>
      </c>
      <c r="H92" s="4" t="s">
        <v>176</v>
      </c>
      <c r="I92" s="5" t="s">
        <v>184</v>
      </c>
      <c r="J92" s="5" t="s">
        <v>275</v>
      </c>
      <c r="K92" s="6">
        <v>0</v>
      </c>
      <c r="L92" s="5" t="s">
        <v>184</v>
      </c>
    </row>
    <row r="93" spans="1:12">
      <c r="A93" s="3" t="s">
        <v>138</v>
      </c>
      <c r="B93" s="3" t="s">
        <v>139</v>
      </c>
      <c r="C93" s="3" t="s">
        <v>172</v>
      </c>
      <c r="D93" s="1">
        <v>46233</v>
      </c>
      <c r="E93" s="3" t="s">
        <v>180</v>
      </c>
      <c r="F93" s="3" t="s">
        <v>174</v>
      </c>
      <c r="G93" s="4" t="s">
        <v>175</v>
      </c>
      <c r="H93" s="4" t="s">
        <v>176</v>
      </c>
      <c r="I93" s="5" t="s">
        <v>188</v>
      </c>
      <c r="J93" s="5" t="s">
        <v>218</v>
      </c>
      <c r="K93" s="6">
        <v>0</v>
      </c>
      <c r="L93" s="5" t="s">
        <v>212</v>
      </c>
    </row>
    <row r="94" spans="1:12">
      <c r="A94" s="3" t="s">
        <v>138</v>
      </c>
      <c r="B94" s="3" t="s">
        <v>139</v>
      </c>
      <c r="C94" s="3" t="s">
        <v>172</v>
      </c>
      <c r="D94" s="1">
        <v>46234</v>
      </c>
      <c r="E94" s="3" t="s">
        <v>183</v>
      </c>
      <c r="F94" s="3" t="s">
        <v>174</v>
      </c>
      <c r="G94" s="4" t="s">
        <v>175</v>
      </c>
      <c r="H94" s="4" t="s">
        <v>176</v>
      </c>
      <c r="I94" s="5" t="s">
        <v>202</v>
      </c>
      <c r="J94" s="5" t="s">
        <v>218</v>
      </c>
      <c r="K94" s="6">
        <v>0</v>
      </c>
      <c r="L94" s="5" t="s">
        <v>263</v>
      </c>
    </row>
    <row r="95" spans="1:12">
      <c r="A95" s="3" t="s">
        <v>140</v>
      </c>
      <c r="B95" s="3" t="s">
        <v>141</v>
      </c>
      <c r="C95" s="3" t="s">
        <v>172</v>
      </c>
      <c r="D95" s="1">
        <v>46204</v>
      </c>
      <c r="E95" s="3" t="s">
        <v>173</v>
      </c>
      <c r="F95" s="3" t="s">
        <v>174</v>
      </c>
      <c r="G95" s="4" t="s">
        <v>175</v>
      </c>
      <c r="H95" s="4" t="s">
        <v>176</v>
      </c>
      <c r="I95" s="5" t="s">
        <v>252</v>
      </c>
      <c r="J95" s="5" t="s">
        <v>264</v>
      </c>
      <c r="K95" s="6">
        <v>0</v>
      </c>
      <c r="L95" s="5" t="s">
        <v>190</v>
      </c>
    </row>
    <row r="96" spans="1:12">
      <c r="A96" s="3" t="s">
        <v>140</v>
      </c>
      <c r="B96" s="3" t="s">
        <v>141</v>
      </c>
      <c r="C96" s="3" t="s">
        <v>172</v>
      </c>
      <c r="D96" s="1">
        <v>46205</v>
      </c>
      <c r="E96" s="3" t="s">
        <v>180</v>
      </c>
      <c r="F96" s="3" t="s">
        <v>174</v>
      </c>
      <c r="G96" s="4" t="s">
        <v>175</v>
      </c>
      <c r="H96" s="4" t="s">
        <v>176</v>
      </c>
      <c r="I96" s="5" t="s">
        <v>188</v>
      </c>
      <c r="J96" s="5" t="s">
        <v>195</v>
      </c>
      <c r="K96" s="6">
        <v>0</v>
      </c>
      <c r="L96" s="5" t="s">
        <v>179</v>
      </c>
    </row>
    <row r="97" spans="1:12">
      <c r="A97" s="3" t="s">
        <v>140</v>
      </c>
      <c r="B97" s="3" t="s">
        <v>141</v>
      </c>
      <c r="C97" s="3" t="s">
        <v>172</v>
      </c>
      <c r="D97" s="1">
        <v>46206</v>
      </c>
      <c r="E97" s="3" t="s">
        <v>183</v>
      </c>
      <c r="F97" s="3" t="s">
        <v>174</v>
      </c>
      <c r="G97" s="4" t="s">
        <v>175</v>
      </c>
      <c r="H97" s="4" t="s">
        <v>176</v>
      </c>
      <c r="I97" s="5" t="s">
        <v>186</v>
      </c>
      <c r="J97" s="5" t="s">
        <v>201</v>
      </c>
      <c r="K97" s="6">
        <v>0</v>
      </c>
      <c r="L97" s="5" t="s">
        <v>194</v>
      </c>
    </row>
    <row r="98" spans="1:12">
      <c r="A98" s="3" t="s">
        <v>140</v>
      </c>
      <c r="B98" s="3" t="s">
        <v>141</v>
      </c>
      <c r="C98" s="3" t="s">
        <v>172</v>
      </c>
      <c r="D98" s="1">
        <v>46207</v>
      </c>
      <c r="E98" s="3" t="s">
        <v>187</v>
      </c>
      <c r="F98" s="3" t="s">
        <v>174</v>
      </c>
      <c r="G98" s="4" t="s">
        <v>175</v>
      </c>
      <c r="H98" s="4" t="s">
        <v>176</v>
      </c>
      <c r="I98" s="5" t="s">
        <v>234</v>
      </c>
      <c r="J98" s="5" t="s">
        <v>276</v>
      </c>
      <c r="K98" s="6">
        <v>0</v>
      </c>
      <c r="L98" s="5" t="s">
        <v>277</v>
      </c>
    </row>
    <row r="99" spans="1:12">
      <c r="A99" s="3" t="s">
        <v>140</v>
      </c>
      <c r="B99" s="3" t="s">
        <v>141</v>
      </c>
      <c r="C99" s="3" t="s">
        <v>172</v>
      </c>
      <c r="D99" s="1">
        <v>46208</v>
      </c>
      <c r="E99" s="3" t="s">
        <v>191</v>
      </c>
      <c r="F99" s="3" t="s">
        <v>192</v>
      </c>
      <c r="G99" s="4" t="s">
        <v>175</v>
      </c>
      <c r="H99" s="4" t="s">
        <v>176</v>
      </c>
      <c r="I99" s="5"/>
      <c r="J99" s="5"/>
      <c r="K99" s="6"/>
      <c r="L99" s="5"/>
    </row>
    <row r="100" spans="1:12">
      <c r="A100" s="3" t="s">
        <v>140</v>
      </c>
      <c r="B100" s="3" t="s">
        <v>141</v>
      </c>
      <c r="C100" s="3" t="s">
        <v>172</v>
      </c>
      <c r="D100" s="1">
        <v>46209</v>
      </c>
      <c r="E100" s="3" t="s">
        <v>193</v>
      </c>
      <c r="F100" s="3" t="s">
        <v>174</v>
      </c>
      <c r="G100" s="4" t="s">
        <v>175</v>
      </c>
      <c r="H100" s="4" t="s">
        <v>176</v>
      </c>
      <c r="I100" s="5" t="s">
        <v>186</v>
      </c>
      <c r="J100" s="5" t="s">
        <v>278</v>
      </c>
      <c r="K100" s="6">
        <v>0</v>
      </c>
      <c r="L100" s="5" t="s">
        <v>177</v>
      </c>
    </row>
    <row r="101" spans="1:12">
      <c r="A101" s="3" t="s">
        <v>140</v>
      </c>
      <c r="B101" s="3" t="s">
        <v>141</v>
      </c>
      <c r="C101" s="3" t="s">
        <v>172</v>
      </c>
      <c r="D101" s="1">
        <v>46210</v>
      </c>
      <c r="E101" s="3" t="s">
        <v>197</v>
      </c>
      <c r="F101" s="3" t="s">
        <v>181</v>
      </c>
      <c r="G101" s="4" t="s">
        <v>175</v>
      </c>
      <c r="H101" s="4" t="s">
        <v>176</v>
      </c>
      <c r="I101" s="5"/>
      <c r="J101" s="5"/>
      <c r="K101" s="6">
        <v>0</v>
      </c>
      <c r="L101" s="5" t="s">
        <v>182</v>
      </c>
    </row>
    <row r="102" spans="1:12">
      <c r="A102" s="3" t="s">
        <v>140</v>
      </c>
      <c r="B102" s="3" t="s">
        <v>141</v>
      </c>
      <c r="C102" s="3" t="s">
        <v>172</v>
      </c>
      <c r="D102" s="1">
        <v>46211</v>
      </c>
      <c r="E102" s="3" t="s">
        <v>173</v>
      </c>
      <c r="F102" s="3" t="s">
        <v>181</v>
      </c>
      <c r="G102" s="4" t="s">
        <v>175</v>
      </c>
      <c r="H102" s="4" t="s">
        <v>176</v>
      </c>
      <c r="I102" s="5"/>
      <c r="J102" s="5"/>
      <c r="K102" s="6">
        <v>0</v>
      </c>
      <c r="L102" s="5" t="s">
        <v>182</v>
      </c>
    </row>
    <row r="103" spans="1:12">
      <c r="A103" s="3" t="s">
        <v>140</v>
      </c>
      <c r="B103" s="3" t="s">
        <v>141</v>
      </c>
      <c r="C103" s="3" t="s">
        <v>172</v>
      </c>
      <c r="D103" s="1">
        <v>46212</v>
      </c>
      <c r="E103" s="3" t="s">
        <v>180</v>
      </c>
      <c r="F103" s="3" t="s">
        <v>181</v>
      </c>
      <c r="G103" s="4" t="s">
        <v>175</v>
      </c>
      <c r="H103" s="4" t="s">
        <v>176</v>
      </c>
      <c r="I103" s="5"/>
      <c r="J103" s="5"/>
      <c r="K103" s="6">
        <v>0</v>
      </c>
      <c r="L103" s="5" t="s">
        <v>182</v>
      </c>
    </row>
    <row r="104" spans="1:12">
      <c r="A104" s="3" t="s">
        <v>140</v>
      </c>
      <c r="B104" s="3" t="s">
        <v>141</v>
      </c>
      <c r="C104" s="3" t="s">
        <v>172</v>
      </c>
      <c r="D104" s="1">
        <v>46213</v>
      </c>
      <c r="E104" s="3" t="s">
        <v>183</v>
      </c>
      <c r="F104" s="3" t="s">
        <v>174</v>
      </c>
      <c r="G104" s="4" t="s">
        <v>175</v>
      </c>
      <c r="H104" s="4" t="s">
        <v>176</v>
      </c>
      <c r="I104" s="5" t="s">
        <v>186</v>
      </c>
      <c r="J104" s="5" t="s">
        <v>254</v>
      </c>
      <c r="K104" s="6">
        <v>0</v>
      </c>
      <c r="L104" s="5" t="s">
        <v>222</v>
      </c>
    </row>
    <row r="105" spans="1:12">
      <c r="A105" s="3" t="s">
        <v>140</v>
      </c>
      <c r="B105" s="3" t="s">
        <v>141</v>
      </c>
      <c r="C105" s="3" t="s">
        <v>172</v>
      </c>
      <c r="D105" s="1">
        <v>46214</v>
      </c>
      <c r="E105" s="3" t="s">
        <v>187</v>
      </c>
      <c r="F105" s="3" t="s">
        <v>181</v>
      </c>
      <c r="G105" s="4" t="s">
        <v>175</v>
      </c>
      <c r="H105" s="4" t="s">
        <v>176</v>
      </c>
      <c r="I105" s="5"/>
      <c r="J105" s="5"/>
      <c r="K105" s="6">
        <v>0</v>
      </c>
      <c r="L105" s="5" t="s">
        <v>182</v>
      </c>
    </row>
    <row r="106" spans="1:12">
      <c r="A106" s="3" t="s">
        <v>140</v>
      </c>
      <c r="B106" s="3" t="s">
        <v>141</v>
      </c>
      <c r="C106" s="3" t="s">
        <v>172</v>
      </c>
      <c r="D106" s="1">
        <v>46215</v>
      </c>
      <c r="E106" s="3" t="s">
        <v>191</v>
      </c>
      <c r="F106" s="3" t="s">
        <v>192</v>
      </c>
      <c r="G106" s="4" t="s">
        <v>175</v>
      </c>
      <c r="H106" s="4" t="s">
        <v>176</v>
      </c>
      <c r="I106" s="5"/>
      <c r="J106" s="5"/>
      <c r="K106" s="6"/>
      <c r="L106" s="5"/>
    </row>
    <row r="107" spans="1:12">
      <c r="A107" s="3" t="s">
        <v>140</v>
      </c>
      <c r="B107" s="3" t="s">
        <v>141</v>
      </c>
      <c r="C107" s="3" t="s">
        <v>172</v>
      </c>
      <c r="D107" s="1">
        <v>46216</v>
      </c>
      <c r="E107" s="3" t="s">
        <v>193</v>
      </c>
      <c r="F107" s="3" t="s">
        <v>174</v>
      </c>
      <c r="G107" s="4" t="s">
        <v>175</v>
      </c>
      <c r="H107" s="4" t="s">
        <v>176</v>
      </c>
      <c r="I107" s="5" t="s">
        <v>190</v>
      </c>
      <c r="J107" s="5" t="s">
        <v>206</v>
      </c>
      <c r="K107" s="6">
        <v>0</v>
      </c>
      <c r="L107" s="5" t="s">
        <v>234</v>
      </c>
    </row>
    <row r="108" spans="1:12">
      <c r="A108" s="3" t="s">
        <v>140</v>
      </c>
      <c r="B108" s="3" t="s">
        <v>141</v>
      </c>
      <c r="C108" s="3" t="s">
        <v>172</v>
      </c>
      <c r="D108" s="1">
        <v>46217</v>
      </c>
      <c r="E108" s="3" t="s">
        <v>197</v>
      </c>
      <c r="F108" s="3" t="s">
        <v>174</v>
      </c>
      <c r="G108" s="4" t="s">
        <v>175</v>
      </c>
      <c r="H108" s="4" t="s">
        <v>176</v>
      </c>
      <c r="I108" s="5" t="s">
        <v>184</v>
      </c>
      <c r="J108" s="5" t="s">
        <v>218</v>
      </c>
      <c r="K108" s="6">
        <v>0</v>
      </c>
      <c r="L108" s="5" t="s">
        <v>269</v>
      </c>
    </row>
    <row r="109" spans="1:12">
      <c r="A109" s="3" t="s">
        <v>140</v>
      </c>
      <c r="B109" s="3" t="s">
        <v>141</v>
      </c>
      <c r="C109" s="3" t="s">
        <v>172</v>
      </c>
      <c r="D109" s="1">
        <v>46218</v>
      </c>
      <c r="E109" s="3" t="s">
        <v>173</v>
      </c>
      <c r="F109" s="3" t="s">
        <v>181</v>
      </c>
      <c r="G109" s="4" t="s">
        <v>175</v>
      </c>
      <c r="H109" s="4" t="s">
        <v>176</v>
      </c>
      <c r="I109" s="5"/>
      <c r="J109" s="5"/>
      <c r="K109" s="6">
        <v>0</v>
      </c>
      <c r="L109" s="5" t="s">
        <v>182</v>
      </c>
    </row>
    <row r="110" spans="1:12">
      <c r="A110" s="3" t="s">
        <v>140</v>
      </c>
      <c r="B110" s="3" t="s">
        <v>141</v>
      </c>
      <c r="C110" s="3" t="s">
        <v>172</v>
      </c>
      <c r="D110" s="1">
        <v>46219</v>
      </c>
      <c r="E110" s="3" t="s">
        <v>180</v>
      </c>
      <c r="F110" s="3" t="s">
        <v>181</v>
      </c>
      <c r="G110" s="4" t="s">
        <v>175</v>
      </c>
      <c r="H110" s="4" t="s">
        <v>176</v>
      </c>
      <c r="I110" s="5"/>
      <c r="J110" s="5"/>
      <c r="K110" s="6">
        <v>0</v>
      </c>
      <c r="L110" s="5" t="s">
        <v>182</v>
      </c>
    </row>
    <row r="111" spans="1:12">
      <c r="A111" s="3" t="s">
        <v>140</v>
      </c>
      <c r="B111" s="3" t="s">
        <v>141</v>
      </c>
      <c r="C111" s="3" t="s">
        <v>172</v>
      </c>
      <c r="D111" s="1">
        <v>46220</v>
      </c>
      <c r="E111" s="3" t="s">
        <v>183</v>
      </c>
      <c r="F111" s="3" t="s">
        <v>181</v>
      </c>
      <c r="G111" s="4" t="s">
        <v>175</v>
      </c>
      <c r="H111" s="4" t="s">
        <v>176</v>
      </c>
      <c r="I111" s="5"/>
      <c r="J111" s="5"/>
      <c r="K111" s="6">
        <v>0</v>
      </c>
      <c r="L111" s="5" t="s">
        <v>182</v>
      </c>
    </row>
    <row r="112" spans="1:12">
      <c r="A112" s="3" t="s">
        <v>140</v>
      </c>
      <c r="B112" s="3" t="s">
        <v>141</v>
      </c>
      <c r="C112" s="3" t="s">
        <v>172</v>
      </c>
      <c r="D112" s="1">
        <v>46221</v>
      </c>
      <c r="E112" s="3" t="s">
        <v>187</v>
      </c>
      <c r="F112" s="3" t="s">
        <v>181</v>
      </c>
      <c r="G112" s="4" t="s">
        <v>175</v>
      </c>
      <c r="H112" s="4" t="s">
        <v>176</v>
      </c>
      <c r="I112" s="5"/>
      <c r="J112" s="5"/>
      <c r="K112" s="6">
        <v>0</v>
      </c>
      <c r="L112" s="5" t="s">
        <v>182</v>
      </c>
    </row>
    <row r="113" spans="1:12">
      <c r="A113" s="3" t="s">
        <v>140</v>
      </c>
      <c r="B113" s="3" t="s">
        <v>141</v>
      </c>
      <c r="C113" s="3" t="s">
        <v>172</v>
      </c>
      <c r="D113" s="1">
        <v>46222</v>
      </c>
      <c r="E113" s="3" t="s">
        <v>191</v>
      </c>
      <c r="F113" s="3" t="s">
        <v>192</v>
      </c>
      <c r="G113" s="4" t="s">
        <v>175</v>
      </c>
      <c r="H113" s="4" t="s">
        <v>176</v>
      </c>
      <c r="I113" s="5"/>
      <c r="J113" s="5"/>
      <c r="K113" s="6"/>
      <c r="L113" s="5"/>
    </row>
    <row r="114" spans="1:12">
      <c r="A114" s="3" t="s">
        <v>140</v>
      </c>
      <c r="B114" s="3" t="s">
        <v>141</v>
      </c>
      <c r="C114" s="3" t="s">
        <v>172</v>
      </c>
      <c r="D114" s="1">
        <v>46223</v>
      </c>
      <c r="E114" s="3" t="s">
        <v>193</v>
      </c>
      <c r="F114" s="3" t="s">
        <v>174</v>
      </c>
      <c r="G114" s="4" t="s">
        <v>175</v>
      </c>
      <c r="H114" s="4" t="s">
        <v>176</v>
      </c>
      <c r="I114" s="5" t="s">
        <v>269</v>
      </c>
      <c r="J114" s="5" t="s">
        <v>279</v>
      </c>
      <c r="K114" s="6">
        <v>0</v>
      </c>
      <c r="L114" s="5" t="s">
        <v>280</v>
      </c>
    </row>
    <row r="115" spans="1:12">
      <c r="A115" s="3" t="s">
        <v>140</v>
      </c>
      <c r="B115" s="3" t="s">
        <v>141</v>
      </c>
      <c r="C115" s="3" t="s">
        <v>172</v>
      </c>
      <c r="D115" s="1">
        <v>46224</v>
      </c>
      <c r="E115" s="3" t="s">
        <v>197</v>
      </c>
      <c r="F115" s="3" t="s">
        <v>181</v>
      </c>
      <c r="G115" s="4" t="s">
        <v>175</v>
      </c>
      <c r="H115" s="4" t="s">
        <v>176</v>
      </c>
      <c r="I115" s="5"/>
      <c r="J115" s="5"/>
      <c r="K115" s="6">
        <v>0</v>
      </c>
      <c r="L115" s="5" t="s">
        <v>182</v>
      </c>
    </row>
    <row r="116" spans="1:12">
      <c r="A116" s="3" t="s">
        <v>140</v>
      </c>
      <c r="B116" s="3" t="s">
        <v>141</v>
      </c>
      <c r="C116" s="3" t="s">
        <v>172</v>
      </c>
      <c r="D116" s="1">
        <v>46225</v>
      </c>
      <c r="E116" s="3" t="s">
        <v>173</v>
      </c>
      <c r="F116" s="3" t="s">
        <v>181</v>
      </c>
      <c r="G116" s="4" t="s">
        <v>175</v>
      </c>
      <c r="H116" s="4" t="s">
        <v>176</v>
      </c>
      <c r="I116" s="5"/>
      <c r="J116" s="5"/>
      <c r="K116" s="6">
        <v>0</v>
      </c>
      <c r="L116" s="5" t="s">
        <v>182</v>
      </c>
    </row>
    <row r="117" spans="1:12">
      <c r="A117" s="3" t="s">
        <v>140</v>
      </c>
      <c r="B117" s="3" t="s">
        <v>141</v>
      </c>
      <c r="C117" s="3" t="s">
        <v>172</v>
      </c>
      <c r="D117" s="1">
        <v>46226</v>
      </c>
      <c r="E117" s="3" t="s">
        <v>180</v>
      </c>
      <c r="F117" s="3" t="s">
        <v>181</v>
      </c>
      <c r="G117" s="4" t="s">
        <v>175</v>
      </c>
      <c r="H117" s="4" t="s">
        <v>176</v>
      </c>
      <c r="I117" s="5"/>
      <c r="J117" s="5"/>
      <c r="K117" s="6">
        <v>0</v>
      </c>
      <c r="L117" s="5" t="s">
        <v>182</v>
      </c>
    </row>
    <row r="118" spans="1:12">
      <c r="A118" s="3" t="s">
        <v>140</v>
      </c>
      <c r="B118" s="3" t="s">
        <v>141</v>
      </c>
      <c r="C118" s="3" t="s">
        <v>172</v>
      </c>
      <c r="D118" s="1">
        <v>46227</v>
      </c>
      <c r="E118" s="3" t="s">
        <v>183</v>
      </c>
      <c r="F118" s="3" t="s">
        <v>181</v>
      </c>
      <c r="G118" s="4" t="s">
        <v>175</v>
      </c>
      <c r="H118" s="4" t="s">
        <v>176</v>
      </c>
      <c r="I118" s="5"/>
      <c r="J118" s="5"/>
      <c r="K118" s="6">
        <v>0</v>
      </c>
      <c r="L118" s="5" t="s">
        <v>182</v>
      </c>
    </row>
    <row r="119" spans="1:12">
      <c r="A119" s="3" t="s">
        <v>140</v>
      </c>
      <c r="B119" s="3" t="s">
        <v>141</v>
      </c>
      <c r="C119" s="3" t="s">
        <v>172</v>
      </c>
      <c r="D119" s="1">
        <v>46228</v>
      </c>
      <c r="E119" s="3" t="s">
        <v>187</v>
      </c>
      <c r="F119" s="3" t="s">
        <v>181</v>
      </c>
      <c r="G119" s="4" t="s">
        <v>175</v>
      </c>
      <c r="H119" s="4" t="s">
        <v>176</v>
      </c>
      <c r="I119" s="5"/>
      <c r="J119" s="5"/>
      <c r="K119" s="6">
        <v>0</v>
      </c>
      <c r="L119" s="5" t="s">
        <v>182</v>
      </c>
    </row>
    <row r="120" spans="1:12">
      <c r="A120" s="3" t="s">
        <v>140</v>
      </c>
      <c r="B120" s="3" t="s">
        <v>141</v>
      </c>
      <c r="C120" s="3" t="s">
        <v>172</v>
      </c>
      <c r="D120" s="1">
        <v>46229</v>
      </c>
      <c r="E120" s="3" t="s">
        <v>191</v>
      </c>
      <c r="F120" s="3" t="s">
        <v>192</v>
      </c>
      <c r="G120" s="4" t="s">
        <v>175</v>
      </c>
      <c r="H120" s="4" t="s">
        <v>176</v>
      </c>
      <c r="I120" s="5"/>
      <c r="J120" s="5"/>
      <c r="K120" s="6"/>
      <c r="L120" s="5"/>
    </row>
    <row r="121" spans="1:12">
      <c r="A121" s="3" t="s">
        <v>140</v>
      </c>
      <c r="B121" s="3" t="s">
        <v>141</v>
      </c>
      <c r="C121" s="3" t="s">
        <v>172</v>
      </c>
      <c r="D121" s="1">
        <v>46230</v>
      </c>
      <c r="E121" s="3" t="s">
        <v>193</v>
      </c>
      <c r="F121" s="3" t="s">
        <v>181</v>
      </c>
      <c r="G121" s="4" t="s">
        <v>175</v>
      </c>
      <c r="H121" s="4" t="s">
        <v>176</v>
      </c>
      <c r="I121" s="5"/>
      <c r="J121" s="5"/>
      <c r="K121" s="6">
        <v>0</v>
      </c>
      <c r="L121" s="5" t="s">
        <v>182</v>
      </c>
    </row>
    <row r="122" spans="1:12">
      <c r="A122" s="3" t="s">
        <v>140</v>
      </c>
      <c r="B122" s="3" t="s">
        <v>141</v>
      </c>
      <c r="C122" s="3" t="s">
        <v>172</v>
      </c>
      <c r="D122" s="1">
        <v>46231</v>
      </c>
      <c r="E122" s="3" t="s">
        <v>197</v>
      </c>
      <c r="F122" s="3" t="s">
        <v>181</v>
      </c>
      <c r="G122" s="4" t="s">
        <v>175</v>
      </c>
      <c r="H122" s="4" t="s">
        <v>176</v>
      </c>
      <c r="I122" s="5"/>
      <c r="J122" s="5"/>
      <c r="K122" s="6">
        <v>0</v>
      </c>
      <c r="L122" s="5" t="s">
        <v>182</v>
      </c>
    </row>
    <row r="123" spans="1:12">
      <c r="A123" s="3" t="s">
        <v>140</v>
      </c>
      <c r="B123" s="3" t="s">
        <v>141</v>
      </c>
      <c r="C123" s="3" t="s">
        <v>172</v>
      </c>
      <c r="D123" s="1">
        <v>46232</v>
      </c>
      <c r="E123" s="3" t="s">
        <v>173</v>
      </c>
      <c r="F123" s="3" t="s">
        <v>174</v>
      </c>
      <c r="G123" s="4" t="s">
        <v>175</v>
      </c>
      <c r="H123" s="4" t="s">
        <v>176</v>
      </c>
      <c r="I123" s="5" t="s">
        <v>190</v>
      </c>
      <c r="J123" s="5" t="s">
        <v>268</v>
      </c>
      <c r="K123" s="6">
        <v>0</v>
      </c>
      <c r="L123" s="5" t="s">
        <v>196</v>
      </c>
    </row>
    <row r="124" spans="1:12">
      <c r="A124" s="3" t="s">
        <v>140</v>
      </c>
      <c r="B124" s="3" t="s">
        <v>141</v>
      </c>
      <c r="C124" s="3" t="s">
        <v>172</v>
      </c>
      <c r="D124" s="1">
        <v>46233</v>
      </c>
      <c r="E124" s="3" t="s">
        <v>180</v>
      </c>
      <c r="F124" s="3" t="s">
        <v>174</v>
      </c>
      <c r="G124" s="4" t="s">
        <v>175</v>
      </c>
      <c r="H124" s="4" t="s">
        <v>176</v>
      </c>
      <c r="I124" s="5" t="s">
        <v>269</v>
      </c>
      <c r="J124" s="5" t="s">
        <v>253</v>
      </c>
      <c r="K124" s="6">
        <v>0</v>
      </c>
      <c r="L124" s="5" t="s">
        <v>211</v>
      </c>
    </row>
    <row r="125" spans="1:12">
      <c r="A125" s="3" t="s">
        <v>140</v>
      </c>
      <c r="B125" s="3" t="s">
        <v>141</v>
      </c>
      <c r="C125" s="3" t="s">
        <v>172</v>
      </c>
      <c r="D125" s="1">
        <v>46234</v>
      </c>
      <c r="E125" s="3" t="s">
        <v>183</v>
      </c>
      <c r="F125" s="3" t="s">
        <v>174</v>
      </c>
      <c r="G125" s="4" t="s">
        <v>175</v>
      </c>
      <c r="H125" s="4" t="s">
        <v>176</v>
      </c>
      <c r="I125" s="5" t="s">
        <v>209</v>
      </c>
      <c r="J125" s="5" t="s">
        <v>281</v>
      </c>
      <c r="K125" s="6">
        <v>0</v>
      </c>
      <c r="L125" s="5" t="s">
        <v>211</v>
      </c>
    </row>
    <row r="126" spans="1:12">
      <c r="A126" s="3" t="s">
        <v>143</v>
      </c>
      <c r="B126" s="3" t="s">
        <v>144</v>
      </c>
      <c r="C126" s="3" t="s">
        <v>172</v>
      </c>
      <c r="D126" s="1">
        <v>46204</v>
      </c>
      <c r="E126" s="3" t="s">
        <v>173</v>
      </c>
      <c r="F126" s="3" t="s">
        <v>174</v>
      </c>
      <c r="G126" s="4" t="s">
        <v>175</v>
      </c>
      <c r="H126" s="4" t="s">
        <v>176</v>
      </c>
      <c r="I126" s="5" t="s">
        <v>194</v>
      </c>
      <c r="J126" s="5" t="s">
        <v>250</v>
      </c>
      <c r="K126" s="6">
        <v>1.5</v>
      </c>
      <c r="L126" s="5" t="s">
        <v>247</v>
      </c>
    </row>
    <row r="127" spans="1:12">
      <c r="A127" s="3" t="s">
        <v>143</v>
      </c>
      <c r="B127" s="3" t="s">
        <v>144</v>
      </c>
      <c r="C127" s="3" t="s">
        <v>172</v>
      </c>
      <c r="D127" s="1">
        <v>46205</v>
      </c>
      <c r="E127" s="3" t="s">
        <v>180</v>
      </c>
      <c r="F127" s="3" t="s">
        <v>174</v>
      </c>
      <c r="G127" s="4" t="s">
        <v>175</v>
      </c>
      <c r="H127" s="4" t="s">
        <v>176</v>
      </c>
      <c r="I127" s="5" t="s">
        <v>252</v>
      </c>
      <c r="J127" s="5" t="s">
        <v>272</v>
      </c>
      <c r="K127" s="6">
        <v>0</v>
      </c>
      <c r="L127" s="5" t="s">
        <v>188</v>
      </c>
    </row>
    <row r="128" spans="1:12">
      <c r="A128" s="3" t="s">
        <v>143</v>
      </c>
      <c r="B128" s="3" t="s">
        <v>144</v>
      </c>
      <c r="C128" s="3" t="s">
        <v>172</v>
      </c>
      <c r="D128" s="1">
        <v>46206</v>
      </c>
      <c r="E128" s="3" t="s">
        <v>183</v>
      </c>
      <c r="F128" s="3" t="s">
        <v>174</v>
      </c>
      <c r="G128" s="4" t="s">
        <v>175</v>
      </c>
      <c r="H128" s="4" t="s">
        <v>176</v>
      </c>
      <c r="I128" s="5" t="s">
        <v>252</v>
      </c>
      <c r="J128" s="5" t="s">
        <v>282</v>
      </c>
      <c r="K128" s="6">
        <v>1.5</v>
      </c>
      <c r="L128" s="5" t="s">
        <v>229</v>
      </c>
    </row>
    <row r="129" spans="1:12">
      <c r="A129" s="3" t="s">
        <v>143</v>
      </c>
      <c r="B129" s="3" t="s">
        <v>144</v>
      </c>
      <c r="C129" s="3" t="s">
        <v>172</v>
      </c>
      <c r="D129" s="1">
        <v>46207</v>
      </c>
      <c r="E129" s="3" t="s">
        <v>187</v>
      </c>
      <c r="F129" s="3" t="s">
        <v>174</v>
      </c>
      <c r="G129" s="4" t="s">
        <v>175</v>
      </c>
      <c r="H129" s="4" t="s">
        <v>176</v>
      </c>
      <c r="I129" s="5" t="s">
        <v>269</v>
      </c>
      <c r="J129" s="5" t="s">
        <v>248</v>
      </c>
      <c r="K129" s="6">
        <v>1.5</v>
      </c>
      <c r="L129" s="5" t="s">
        <v>283</v>
      </c>
    </row>
    <row r="130" spans="1:12">
      <c r="A130" s="3" t="s">
        <v>143</v>
      </c>
      <c r="B130" s="3" t="s">
        <v>144</v>
      </c>
      <c r="C130" s="3" t="s">
        <v>172</v>
      </c>
      <c r="D130" s="1">
        <v>46208</v>
      </c>
      <c r="E130" s="3" t="s">
        <v>191</v>
      </c>
      <c r="F130" s="3" t="s">
        <v>192</v>
      </c>
      <c r="G130" s="4" t="s">
        <v>175</v>
      </c>
      <c r="H130" s="4" t="s">
        <v>176</v>
      </c>
      <c r="I130" s="5"/>
      <c r="J130" s="5"/>
      <c r="K130" s="6"/>
      <c r="L130" s="5"/>
    </row>
    <row r="131" spans="1:12">
      <c r="A131" s="3" t="s">
        <v>143</v>
      </c>
      <c r="B131" s="3" t="s">
        <v>144</v>
      </c>
      <c r="C131" s="3" t="s">
        <v>172</v>
      </c>
      <c r="D131" s="1">
        <v>46209</v>
      </c>
      <c r="E131" s="3" t="s">
        <v>193</v>
      </c>
      <c r="F131" s="3" t="s">
        <v>174</v>
      </c>
      <c r="G131" s="4" t="s">
        <v>175</v>
      </c>
      <c r="H131" s="4" t="s">
        <v>176</v>
      </c>
      <c r="I131" s="5" t="s">
        <v>234</v>
      </c>
      <c r="J131" s="5" t="s">
        <v>265</v>
      </c>
      <c r="K131" s="6">
        <v>0</v>
      </c>
      <c r="L131" s="5" t="s">
        <v>217</v>
      </c>
    </row>
    <row r="132" spans="1:12">
      <c r="A132" s="3" t="s">
        <v>143</v>
      </c>
      <c r="B132" s="3" t="s">
        <v>144</v>
      </c>
      <c r="C132" s="3" t="s">
        <v>172</v>
      </c>
      <c r="D132" s="1">
        <v>46210</v>
      </c>
      <c r="E132" s="3" t="s">
        <v>197</v>
      </c>
      <c r="F132" s="3" t="s">
        <v>174</v>
      </c>
      <c r="G132" s="4" t="s">
        <v>175</v>
      </c>
      <c r="H132" s="4" t="s">
        <v>176</v>
      </c>
      <c r="I132" s="5" t="s">
        <v>186</v>
      </c>
      <c r="J132" s="5" t="s">
        <v>284</v>
      </c>
      <c r="K132" s="6">
        <v>1.5</v>
      </c>
      <c r="L132" s="5" t="s">
        <v>285</v>
      </c>
    </row>
    <row r="133" spans="1:12">
      <c r="A133" s="3" t="s">
        <v>143</v>
      </c>
      <c r="B133" s="3" t="s">
        <v>144</v>
      </c>
      <c r="C133" s="3" t="s">
        <v>172</v>
      </c>
      <c r="D133" s="1">
        <v>46211</v>
      </c>
      <c r="E133" s="3" t="s">
        <v>173</v>
      </c>
      <c r="F133" s="3" t="s">
        <v>174</v>
      </c>
      <c r="G133" s="4" t="s">
        <v>175</v>
      </c>
      <c r="H133" s="4" t="s">
        <v>176</v>
      </c>
      <c r="I133" s="5" t="s">
        <v>184</v>
      </c>
      <c r="J133" s="5" t="s">
        <v>241</v>
      </c>
      <c r="K133" s="6">
        <v>1.5</v>
      </c>
      <c r="L133" s="5" t="s">
        <v>256</v>
      </c>
    </row>
    <row r="134" spans="1:12">
      <c r="A134" s="3" t="s">
        <v>143</v>
      </c>
      <c r="B134" s="3" t="s">
        <v>144</v>
      </c>
      <c r="C134" s="3" t="s">
        <v>172</v>
      </c>
      <c r="D134" s="1">
        <v>46212</v>
      </c>
      <c r="E134" s="3" t="s">
        <v>180</v>
      </c>
      <c r="F134" s="3" t="s">
        <v>174</v>
      </c>
      <c r="G134" s="4" t="s">
        <v>175</v>
      </c>
      <c r="H134" s="4" t="s">
        <v>176</v>
      </c>
      <c r="I134" s="5" t="s">
        <v>198</v>
      </c>
      <c r="J134" s="5" t="s">
        <v>199</v>
      </c>
      <c r="K134" s="6">
        <v>0</v>
      </c>
      <c r="L134" s="5" t="s">
        <v>200</v>
      </c>
    </row>
    <row r="135" spans="1:12">
      <c r="A135" s="3" t="s">
        <v>143</v>
      </c>
      <c r="B135" s="3" t="s">
        <v>144</v>
      </c>
      <c r="C135" s="3" t="s">
        <v>172</v>
      </c>
      <c r="D135" s="1">
        <v>46213</v>
      </c>
      <c r="E135" s="3" t="s">
        <v>183</v>
      </c>
      <c r="F135" s="3" t="s">
        <v>174</v>
      </c>
      <c r="G135" s="4" t="s">
        <v>175</v>
      </c>
      <c r="H135" s="4" t="s">
        <v>176</v>
      </c>
      <c r="I135" s="5" t="s">
        <v>211</v>
      </c>
      <c r="J135" s="5" t="s">
        <v>286</v>
      </c>
      <c r="K135" s="6">
        <v>1.5</v>
      </c>
      <c r="L135" s="5" t="s">
        <v>287</v>
      </c>
    </row>
    <row r="136" spans="1:12">
      <c r="A136" s="3" t="s">
        <v>143</v>
      </c>
      <c r="B136" s="3" t="s">
        <v>144</v>
      </c>
      <c r="C136" s="3" t="s">
        <v>172</v>
      </c>
      <c r="D136" s="1">
        <v>46214</v>
      </c>
      <c r="E136" s="3" t="s">
        <v>187</v>
      </c>
      <c r="F136" s="3" t="s">
        <v>174</v>
      </c>
      <c r="G136" s="4" t="s">
        <v>175</v>
      </c>
      <c r="H136" s="4" t="s">
        <v>176</v>
      </c>
      <c r="I136" s="5" t="s">
        <v>186</v>
      </c>
      <c r="J136" s="5" t="s">
        <v>288</v>
      </c>
      <c r="K136" s="6">
        <v>1.5</v>
      </c>
      <c r="L136" s="5" t="s">
        <v>229</v>
      </c>
    </row>
    <row r="137" spans="1:12">
      <c r="A137" s="3" t="s">
        <v>143</v>
      </c>
      <c r="B137" s="3" t="s">
        <v>144</v>
      </c>
      <c r="C137" s="3" t="s">
        <v>172</v>
      </c>
      <c r="D137" s="1">
        <v>46215</v>
      </c>
      <c r="E137" s="3" t="s">
        <v>191</v>
      </c>
      <c r="F137" s="3" t="s">
        <v>192</v>
      </c>
      <c r="G137" s="4" t="s">
        <v>175</v>
      </c>
      <c r="H137" s="4" t="s">
        <v>176</v>
      </c>
      <c r="I137" s="5"/>
      <c r="J137" s="5"/>
      <c r="K137" s="6"/>
      <c r="L137" s="5"/>
    </row>
    <row r="138" spans="1:12">
      <c r="A138" s="3" t="s">
        <v>143</v>
      </c>
      <c r="B138" s="3" t="s">
        <v>144</v>
      </c>
      <c r="C138" s="3" t="s">
        <v>172</v>
      </c>
      <c r="D138" s="1">
        <v>46216</v>
      </c>
      <c r="E138" s="3" t="s">
        <v>193</v>
      </c>
      <c r="F138" s="3" t="s">
        <v>174</v>
      </c>
      <c r="G138" s="4" t="s">
        <v>175</v>
      </c>
      <c r="H138" s="4" t="s">
        <v>176</v>
      </c>
      <c r="I138" s="5" t="s">
        <v>269</v>
      </c>
      <c r="J138" s="5" t="s">
        <v>289</v>
      </c>
      <c r="K138" s="6">
        <v>1.5</v>
      </c>
      <c r="L138" s="5" t="s">
        <v>290</v>
      </c>
    </row>
    <row r="139" spans="1:12">
      <c r="A139" s="3" t="s">
        <v>143</v>
      </c>
      <c r="B139" s="3" t="s">
        <v>144</v>
      </c>
      <c r="C139" s="3" t="s">
        <v>172</v>
      </c>
      <c r="D139" s="1">
        <v>46217</v>
      </c>
      <c r="E139" s="3" t="s">
        <v>197</v>
      </c>
      <c r="F139" s="3" t="s">
        <v>174</v>
      </c>
      <c r="G139" s="4" t="s">
        <v>175</v>
      </c>
      <c r="H139" s="4" t="s">
        <v>176</v>
      </c>
      <c r="I139" s="5" t="s">
        <v>190</v>
      </c>
      <c r="J139" s="5" t="s">
        <v>291</v>
      </c>
      <c r="K139" s="6">
        <v>1.5</v>
      </c>
      <c r="L139" s="5" t="s">
        <v>251</v>
      </c>
    </row>
    <row r="140" spans="1:12">
      <c r="A140" s="3" t="s">
        <v>143</v>
      </c>
      <c r="B140" s="3" t="s">
        <v>144</v>
      </c>
      <c r="C140" s="3" t="s">
        <v>172</v>
      </c>
      <c r="D140" s="1">
        <v>46218</v>
      </c>
      <c r="E140" s="3" t="s">
        <v>173</v>
      </c>
      <c r="F140" s="3" t="s">
        <v>174</v>
      </c>
      <c r="G140" s="4" t="s">
        <v>175</v>
      </c>
      <c r="H140" s="4" t="s">
        <v>176</v>
      </c>
      <c r="I140" s="5" t="s">
        <v>194</v>
      </c>
      <c r="J140" s="5" t="s">
        <v>288</v>
      </c>
      <c r="K140" s="6">
        <v>1.5</v>
      </c>
      <c r="L140" s="5" t="s">
        <v>292</v>
      </c>
    </row>
    <row r="141" spans="1:12">
      <c r="A141" s="3" t="s">
        <v>143</v>
      </c>
      <c r="B141" s="3" t="s">
        <v>144</v>
      </c>
      <c r="C141" s="3" t="s">
        <v>172</v>
      </c>
      <c r="D141" s="1">
        <v>46219</v>
      </c>
      <c r="E141" s="3" t="s">
        <v>180</v>
      </c>
      <c r="F141" s="3" t="s">
        <v>174</v>
      </c>
      <c r="G141" s="4" t="s">
        <v>175</v>
      </c>
      <c r="H141" s="4" t="s">
        <v>176</v>
      </c>
      <c r="I141" s="5" t="s">
        <v>219</v>
      </c>
      <c r="J141" s="5" t="s">
        <v>293</v>
      </c>
      <c r="K141" s="6">
        <v>1.5</v>
      </c>
      <c r="L141" s="5" t="s">
        <v>294</v>
      </c>
    </row>
    <row r="142" spans="1:12">
      <c r="A142" s="3" t="s">
        <v>143</v>
      </c>
      <c r="B142" s="3" t="s">
        <v>144</v>
      </c>
      <c r="C142" s="3" t="s">
        <v>172</v>
      </c>
      <c r="D142" s="1">
        <v>46220</v>
      </c>
      <c r="E142" s="3" t="s">
        <v>183</v>
      </c>
      <c r="F142" s="3" t="s">
        <v>174</v>
      </c>
      <c r="G142" s="4" t="s">
        <v>175</v>
      </c>
      <c r="H142" s="4" t="s">
        <v>176</v>
      </c>
      <c r="I142" s="5" t="s">
        <v>184</v>
      </c>
      <c r="J142" s="5" t="s">
        <v>268</v>
      </c>
      <c r="K142" s="6">
        <v>0</v>
      </c>
      <c r="L142" s="5" t="s">
        <v>274</v>
      </c>
    </row>
    <row r="143" spans="1:12">
      <c r="A143" s="3" t="s">
        <v>143</v>
      </c>
      <c r="B143" s="3" t="s">
        <v>144</v>
      </c>
      <c r="C143" s="3" t="s">
        <v>172</v>
      </c>
      <c r="D143" s="1">
        <v>46221</v>
      </c>
      <c r="E143" s="3" t="s">
        <v>187</v>
      </c>
      <c r="F143" s="3" t="s">
        <v>174</v>
      </c>
      <c r="G143" s="4" t="s">
        <v>175</v>
      </c>
      <c r="H143" s="4" t="s">
        <v>176</v>
      </c>
      <c r="I143" s="5" t="s">
        <v>209</v>
      </c>
      <c r="J143" s="5" t="s">
        <v>295</v>
      </c>
      <c r="K143" s="6">
        <v>1.5</v>
      </c>
      <c r="L143" s="5" t="s">
        <v>249</v>
      </c>
    </row>
    <row r="144" spans="1:12">
      <c r="A144" s="3" t="s">
        <v>143</v>
      </c>
      <c r="B144" s="3" t="s">
        <v>144</v>
      </c>
      <c r="C144" s="3" t="s">
        <v>172</v>
      </c>
      <c r="D144" s="1">
        <v>46222</v>
      </c>
      <c r="E144" s="3" t="s">
        <v>191</v>
      </c>
      <c r="F144" s="3" t="s">
        <v>192</v>
      </c>
      <c r="G144" s="4" t="s">
        <v>175</v>
      </c>
      <c r="H144" s="4" t="s">
        <v>176</v>
      </c>
      <c r="I144" s="5"/>
      <c r="J144" s="5"/>
      <c r="K144" s="6"/>
      <c r="L144" s="5"/>
    </row>
    <row r="145" spans="1:12">
      <c r="A145" s="3" t="s">
        <v>143</v>
      </c>
      <c r="B145" s="3" t="s">
        <v>144</v>
      </c>
      <c r="C145" s="3" t="s">
        <v>172</v>
      </c>
      <c r="D145" s="1">
        <v>46223</v>
      </c>
      <c r="E145" s="3" t="s">
        <v>193</v>
      </c>
      <c r="F145" s="3" t="s">
        <v>174</v>
      </c>
      <c r="G145" s="4" t="s">
        <v>175</v>
      </c>
      <c r="H145" s="4" t="s">
        <v>176</v>
      </c>
      <c r="I145" s="5" t="s">
        <v>194</v>
      </c>
      <c r="J145" s="5" t="s">
        <v>296</v>
      </c>
      <c r="K145" s="6">
        <v>1.5</v>
      </c>
      <c r="L145" s="5" t="s">
        <v>297</v>
      </c>
    </row>
    <row r="146" spans="1:12">
      <c r="A146" s="3" t="s">
        <v>143</v>
      </c>
      <c r="B146" s="3" t="s">
        <v>144</v>
      </c>
      <c r="C146" s="3" t="s">
        <v>172</v>
      </c>
      <c r="D146" s="1">
        <v>46224</v>
      </c>
      <c r="E146" s="3" t="s">
        <v>197</v>
      </c>
      <c r="F146" s="3" t="s">
        <v>174</v>
      </c>
      <c r="G146" s="4" t="s">
        <v>175</v>
      </c>
      <c r="H146" s="4" t="s">
        <v>176</v>
      </c>
      <c r="I146" s="5" t="s">
        <v>177</v>
      </c>
      <c r="J146" s="5" t="s">
        <v>278</v>
      </c>
      <c r="K146" s="6">
        <v>0</v>
      </c>
      <c r="L146" s="5" t="s">
        <v>186</v>
      </c>
    </row>
    <row r="147" spans="1:12">
      <c r="A147" s="3" t="s">
        <v>143</v>
      </c>
      <c r="B147" s="3" t="s">
        <v>144</v>
      </c>
      <c r="C147" s="3" t="s">
        <v>172</v>
      </c>
      <c r="D147" s="1">
        <v>46225</v>
      </c>
      <c r="E147" s="3" t="s">
        <v>173</v>
      </c>
      <c r="F147" s="3" t="s">
        <v>174</v>
      </c>
      <c r="G147" s="4" t="s">
        <v>175</v>
      </c>
      <c r="H147" s="4" t="s">
        <v>176</v>
      </c>
      <c r="I147" s="5" t="s">
        <v>211</v>
      </c>
      <c r="J147" s="5" t="s">
        <v>271</v>
      </c>
      <c r="K147" s="6">
        <v>0</v>
      </c>
      <c r="L147" s="5" t="s">
        <v>208</v>
      </c>
    </row>
    <row r="148" spans="1:12">
      <c r="A148" s="3" t="s">
        <v>143</v>
      </c>
      <c r="B148" s="3" t="s">
        <v>144</v>
      </c>
      <c r="C148" s="3" t="s">
        <v>172</v>
      </c>
      <c r="D148" s="1">
        <v>46226</v>
      </c>
      <c r="E148" s="3" t="s">
        <v>180</v>
      </c>
      <c r="F148" s="3" t="s">
        <v>174</v>
      </c>
      <c r="G148" s="4" t="s">
        <v>175</v>
      </c>
      <c r="H148" s="4" t="s">
        <v>176</v>
      </c>
      <c r="I148" s="5" t="s">
        <v>252</v>
      </c>
      <c r="J148" s="5" t="s">
        <v>298</v>
      </c>
      <c r="K148" s="6">
        <v>1.5</v>
      </c>
      <c r="L148" s="5" t="s">
        <v>233</v>
      </c>
    </row>
    <row r="149" spans="1:12">
      <c r="A149" s="3" t="s">
        <v>143</v>
      </c>
      <c r="B149" s="3" t="s">
        <v>144</v>
      </c>
      <c r="C149" s="3" t="s">
        <v>172</v>
      </c>
      <c r="D149" s="1">
        <v>46227</v>
      </c>
      <c r="E149" s="3" t="s">
        <v>183</v>
      </c>
      <c r="F149" s="3" t="s">
        <v>174</v>
      </c>
      <c r="G149" s="4" t="s">
        <v>175</v>
      </c>
      <c r="H149" s="4" t="s">
        <v>176</v>
      </c>
      <c r="I149" s="5" t="s">
        <v>208</v>
      </c>
      <c r="J149" s="5" t="s">
        <v>221</v>
      </c>
      <c r="K149" s="6">
        <v>0</v>
      </c>
      <c r="L149" s="5" t="s">
        <v>212</v>
      </c>
    </row>
    <row r="150" spans="1:12">
      <c r="A150" s="3" t="s">
        <v>143</v>
      </c>
      <c r="B150" s="3" t="s">
        <v>144</v>
      </c>
      <c r="C150" s="3" t="s">
        <v>172</v>
      </c>
      <c r="D150" s="1">
        <v>46228</v>
      </c>
      <c r="E150" s="3" t="s">
        <v>187</v>
      </c>
      <c r="F150" s="3" t="s">
        <v>174</v>
      </c>
      <c r="G150" s="4" t="s">
        <v>175</v>
      </c>
      <c r="H150" s="4" t="s">
        <v>176</v>
      </c>
      <c r="I150" s="5" t="s">
        <v>184</v>
      </c>
      <c r="J150" s="5" t="s">
        <v>299</v>
      </c>
      <c r="K150" s="6">
        <v>1.5</v>
      </c>
      <c r="L150" s="5" t="s">
        <v>233</v>
      </c>
    </row>
    <row r="151" spans="1:12">
      <c r="A151" s="3" t="s">
        <v>143</v>
      </c>
      <c r="B151" s="3" t="s">
        <v>144</v>
      </c>
      <c r="C151" s="3" t="s">
        <v>172</v>
      </c>
      <c r="D151" s="1">
        <v>46229</v>
      </c>
      <c r="E151" s="3" t="s">
        <v>191</v>
      </c>
      <c r="F151" s="3" t="s">
        <v>192</v>
      </c>
      <c r="G151" s="4" t="s">
        <v>175</v>
      </c>
      <c r="H151" s="4" t="s">
        <v>176</v>
      </c>
      <c r="I151" s="5"/>
      <c r="J151" s="5"/>
      <c r="K151" s="6"/>
      <c r="L151" s="5"/>
    </row>
    <row r="152" spans="1:12">
      <c r="A152" s="3" t="s">
        <v>143</v>
      </c>
      <c r="B152" s="3" t="s">
        <v>144</v>
      </c>
      <c r="C152" s="3" t="s">
        <v>172</v>
      </c>
      <c r="D152" s="1">
        <v>46230</v>
      </c>
      <c r="E152" s="3" t="s">
        <v>193</v>
      </c>
      <c r="F152" s="3" t="s">
        <v>174</v>
      </c>
      <c r="G152" s="4" t="s">
        <v>175</v>
      </c>
      <c r="H152" s="4" t="s">
        <v>176</v>
      </c>
      <c r="I152" s="5" t="s">
        <v>177</v>
      </c>
      <c r="J152" s="5" t="s">
        <v>210</v>
      </c>
      <c r="K152" s="6">
        <v>0</v>
      </c>
      <c r="L152" s="5" t="s">
        <v>212</v>
      </c>
    </row>
    <row r="153" spans="1:12">
      <c r="A153" s="3" t="s">
        <v>143</v>
      </c>
      <c r="B153" s="3" t="s">
        <v>144</v>
      </c>
      <c r="C153" s="3" t="s">
        <v>172</v>
      </c>
      <c r="D153" s="1">
        <v>46231</v>
      </c>
      <c r="E153" s="3" t="s">
        <v>197</v>
      </c>
      <c r="F153" s="3" t="s">
        <v>174</v>
      </c>
      <c r="G153" s="4" t="s">
        <v>175</v>
      </c>
      <c r="H153" s="4" t="s">
        <v>176</v>
      </c>
      <c r="I153" s="5" t="s">
        <v>202</v>
      </c>
      <c r="J153" s="5" t="s">
        <v>220</v>
      </c>
      <c r="K153" s="6">
        <v>0</v>
      </c>
      <c r="L153" s="5" t="s">
        <v>274</v>
      </c>
    </row>
    <row r="154" spans="1:12">
      <c r="A154" s="3" t="s">
        <v>143</v>
      </c>
      <c r="B154" s="3" t="s">
        <v>144</v>
      </c>
      <c r="C154" s="3" t="s">
        <v>172</v>
      </c>
      <c r="D154" s="1">
        <v>46232</v>
      </c>
      <c r="E154" s="3" t="s">
        <v>173</v>
      </c>
      <c r="F154" s="3" t="s">
        <v>174</v>
      </c>
      <c r="G154" s="4" t="s">
        <v>175</v>
      </c>
      <c r="H154" s="4" t="s">
        <v>176</v>
      </c>
      <c r="I154" s="5" t="s">
        <v>188</v>
      </c>
      <c r="J154" s="5" t="s">
        <v>253</v>
      </c>
      <c r="K154" s="6">
        <v>0</v>
      </c>
      <c r="L154" s="5" t="s">
        <v>234</v>
      </c>
    </row>
    <row r="155" spans="1:12">
      <c r="A155" s="3" t="s">
        <v>143</v>
      </c>
      <c r="B155" s="3" t="s">
        <v>144</v>
      </c>
      <c r="C155" s="3" t="s">
        <v>172</v>
      </c>
      <c r="D155" s="1">
        <v>46233</v>
      </c>
      <c r="E155" s="3" t="s">
        <v>180</v>
      </c>
      <c r="F155" s="3" t="s">
        <v>174</v>
      </c>
      <c r="G155" s="4" t="s">
        <v>175</v>
      </c>
      <c r="H155" s="4" t="s">
        <v>176</v>
      </c>
      <c r="I155" s="5" t="s">
        <v>184</v>
      </c>
      <c r="J155" s="5" t="s">
        <v>270</v>
      </c>
      <c r="K155" s="6">
        <v>0</v>
      </c>
      <c r="L155" s="5" t="s">
        <v>300</v>
      </c>
    </row>
    <row r="156" spans="1:12">
      <c r="A156" s="3" t="s">
        <v>143</v>
      </c>
      <c r="B156" s="3" t="s">
        <v>144</v>
      </c>
      <c r="C156" s="3" t="s">
        <v>172</v>
      </c>
      <c r="D156" s="1">
        <v>46234</v>
      </c>
      <c r="E156" s="3" t="s">
        <v>183</v>
      </c>
      <c r="F156" s="3" t="s">
        <v>174</v>
      </c>
      <c r="G156" s="4" t="s">
        <v>175</v>
      </c>
      <c r="H156" s="4" t="s">
        <v>176</v>
      </c>
      <c r="I156" s="5" t="s">
        <v>205</v>
      </c>
      <c r="J156" s="5" t="s">
        <v>242</v>
      </c>
      <c r="K156" s="6">
        <v>1.5</v>
      </c>
      <c r="L156" s="5" t="s">
        <v>243</v>
      </c>
    </row>
    <row r="157" spans="1:12">
      <c r="A157" s="3" t="s">
        <v>145</v>
      </c>
      <c r="B157" s="3" t="s">
        <v>146</v>
      </c>
      <c r="C157" s="3" t="s">
        <v>172</v>
      </c>
      <c r="D157" s="1">
        <v>46204</v>
      </c>
      <c r="E157" s="3" t="s">
        <v>173</v>
      </c>
      <c r="F157" s="3" t="s">
        <v>174</v>
      </c>
      <c r="G157" s="4" t="s">
        <v>175</v>
      </c>
      <c r="H157" s="4" t="s">
        <v>176</v>
      </c>
      <c r="I157" s="5" t="s">
        <v>190</v>
      </c>
      <c r="J157" s="5" t="s">
        <v>254</v>
      </c>
      <c r="K157" s="6">
        <v>0</v>
      </c>
      <c r="L157" s="5" t="s">
        <v>301</v>
      </c>
    </row>
    <row r="158" spans="1:12">
      <c r="A158" s="3" t="s">
        <v>145</v>
      </c>
      <c r="B158" s="3" t="s">
        <v>146</v>
      </c>
      <c r="C158" s="3" t="s">
        <v>172</v>
      </c>
      <c r="D158" s="1">
        <v>46205</v>
      </c>
      <c r="E158" s="3" t="s">
        <v>180</v>
      </c>
      <c r="F158" s="3" t="s">
        <v>174</v>
      </c>
      <c r="G158" s="4" t="s">
        <v>175</v>
      </c>
      <c r="H158" s="4" t="s">
        <v>176</v>
      </c>
      <c r="I158" s="5" t="s">
        <v>194</v>
      </c>
      <c r="J158" s="5" t="s">
        <v>218</v>
      </c>
      <c r="K158" s="6">
        <v>0</v>
      </c>
      <c r="L158" s="5" t="s">
        <v>205</v>
      </c>
    </row>
    <row r="159" spans="1:12">
      <c r="A159" s="3" t="s">
        <v>145</v>
      </c>
      <c r="B159" s="3" t="s">
        <v>146</v>
      </c>
      <c r="C159" s="3" t="s">
        <v>172</v>
      </c>
      <c r="D159" s="1">
        <v>46206</v>
      </c>
      <c r="E159" s="3" t="s">
        <v>183</v>
      </c>
      <c r="F159" s="3" t="s">
        <v>174</v>
      </c>
      <c r="G159" s="4" t="s">
        <v>175</v>
      </c>
      <c r="H159" s="4" t="s">
        <v>176</v>
      </c>
      <c r="I159" s="5" t="s">
        <v>190</v>
      </c>
      <c r="J159" s="5" t="s">
        <v>261</v>
      </c>
      <c r="K159" s="6">
        <v>1.5</v>
      </c>
      <c r="L159" s="5" t="s">
        <v>249</v>
      </c>
    </row>
    <row r="160" spans="1:12">
      <c r="A160" s="3" t="s">
        <v>145</v>
      </c>
      <c r="B160" s="3" t="s">
        <v>146</v>
      </c>
      <c r="C160" s="3" t="s">
        <v>172</v>
      </c>
      <c r="D160" s="1">
        <v>46207</v>
      </c>
      <c r="E160" s="3" t="s">
        <v>187</v>
      </c>
      <c r="F160" s="3" t="s">
        <v>174</v>
      </c>
      <c r="G160" s="4" t="s">
        <v>175</v>
      </c>
      <c r="H160" s="4" t="s">
        <v>176</v>
      </c>
      <c r="I160" s="5" t="s">
        <v>219</v>
      </c>
      <c r="J160" s="5" t="s">
        <v>221</v>
      </c>
      <c r="K160" s="6">
        <v>0</v>
      </c>
      <c r="L160" s="5" t="s">
        <v>274</v>
      </c>
    </row>
    <row r="161" spans="1:12">
      <c r="A161" s="3" t="s">
        <v>145</v>
      </c>
      <c r="B161" s="3" t="s">
        <v>146</v>
      </c>
      <c r="C161" s="3" t="s">
        <v>172</v>
      </c>
      <c r="D161" s="1">
        <v>46208</v>
      </c>
      <c r="E161" s="3" t="s">
        <v>191</v>
      </c>
      <c r="F161" s="3" t="s">
        <v>192</v>
      </c>
      <c r="G161" s="4" t="s">
        <v>175</v>
      </c>
      <c r="H161" s="4" t="s">
        <v>176</v>
      </c>
      <c r="I161" s="5"/>
      <c r="J161" s="5"/>
      <c r="K161" s="6"/>
      <c r="L161" s="5"/>
    </row>
    <row r="162" spans="1:12">
      <c r="A162" s="3" t="s">
        <v>145</v>
      </c>
      <c r="B162" s="3" t="s">
        <v>146</v>
      </c>
      <c r="C162" s="3" t="s">
        <v>172</v>
      </c>
      <c r="D162" s="1">
        <v>46209</v>
      </c>
      <c r="E162" s="3" t="s">
        <v>193</v>
      </c>
      <c r="F162" s="3" t="s">
        <v>174</v>
      </c>
      <c r="G162" s="4" t="s">
        <v>175</v>
      </c>
      <c r="H162" s="4" t="s">
        <v>176</v>
      </c>
      <c r="I162" s="5" t="s">
        <v>252</v>
      </c>
      <c r="J162" s="5" t="s">
        <v>302</v>
      </c>
      <c r="K162" s="6">
        <v>1.5</v>
      </c>
      <c r="L162" s="5" t="s">
        <v>303</v>
      </c>
    </row>
    <row r="163" spans="1:12">
      <c r="A163" s="3" t="s">
        <v>145</v>
      </c>
      <c r="B163" s="3" t="s">
        <v>146</v>
      </c>
      <c r="C163" s="3" t="s">
        <v>172</v>
      </c>
      <c r="D163" s="1">
        <v>46210</v>
      </c>
      <c r="E163" s="3" t="s">
        <v>197</v>
      </c>
      <c r="F163" s="3" t="s">
        <v>174</v>
      </c>
      <c r="G163" s="4" t="s">
        <v>175</v>
      </c>
      <c r="H163" s="4" t="s">
        <v>176</v>
      </c>
      <c r="I163" s="5" t="s">
        <v>188</v>
      </c>
      <c r="J163" s="5" t="s">
        <v>304</v>
      </c>
      <c r="K163" s="6">
        <v>0</v>
      </c>
      <c r="L163" s="5" t="s">
        <v>198</v>
      </c>
    </row>
    <row r="164" spans="1:12">
      <c r="A164" s="3" t="s">
        <v>145</v>
      </c>
      <c r="B164" s="3" t="s">
        <v>146</v>
      </c>
      <c r="C164" s="3" t="s">
        <v>172</v>
      </c>
      <c r="D164" s="1">
        <v>46211</v>
      </c>
      <c r="E164" s="3" t="s">
        <v>173</v>
      </c>
      <c r="F164" s="3" t="s">
        <v>174</v>
      </c>
      <c r="G164" s="4" t="s">
        <v>175</v>
      </c>
      <c r="H164" s="4" t="s">
        <v>176</v>
      </c>
      <c r="I164" s="5" t="s">
        <v>198</v>
      </c>
      <c r="J164" s="5" t="s">
        <v>305</v>
      </c>
      <c r="K164" s="6">
        <v>1.5</v>
      </c>
      <c r="L164" s="5" t="s">
        <v>247</v>
      </c>
    </row>
    <row r="165" spans="1:12">
      <c r="A165" s="3" t="s">
        <v>145</v>
      </c>
      <c r="B165" s="3" t="s">
        <v>146</v>
      </c>
      <c r="C165" s="3" t="s">
        <v>172</v>
      </c>
      <c r="D165" s="1">
        <v>46212</v>
      </c>
      <c r="E165" s="3" t="s">
        <v>180</v>
      </c>
      <c r="F165" s="3" t="s">
        <v>174</v>
      </c>
      <c r="G165" s="4" t="s">
        <v>175</v>
      </c>
      <c r="H165" s="4" t="s">
        <v>176</v>
      </c>
      <c r="I165" s="5" t="s">
        <v>184</v>
      </c>
      <c r="J165" s="5" t="s">
        <v>195</v>
      </c>
      <c r="K165" s="6">
        <v>0</v>
      </c>
      <c r="L165" s="5" t="s">
        <v>277</v>
      </c>
    </row>
    <row r="166" spans="1:12">
      <c r="A166" s="3" t="s">
        <v>145</v>
      </c>
      <c r="B166" s="3" t="s">
        <v>146</v>
      </c>
      <c r="C166" s="3" t="s">
        <v>172</v>
      </c>
      <c r="D166" s="1">
        <v>46213</v>
      </c>
      <c r="E166" s="3" t="s">
        <v>183</v>
      </c>
      <c r="F166" s="3" t="s">
        <v>174</v>
      </c>
      <c r="G166" s="4" t="s">
        <v>175</v>
      </c>
      <c r="H166" s="4" t="s">
        <v>176</v>
      </c>
      <c r="I166" s="5" t="s">
        <v>234</v>
      </c>
      <c r="J166" s="5" t="s">
        <v>244</v>
      </c>
      <c r="K166" s="6">
        <v>1.5</v>
      </c>
      <c r="L166" s="5" t="s">
        <v>233</v>
      </c>
    </row>
    <row r="167" spans="1:12">
      <c r="A167" s="3" t="s">
        <v>145</v>
      </c>
      <c r="B167" s="3" t="s">
        <v>146</v>
      </c>
      <c r="C167" s="3" t="s">
        <v>172</v>
      </c>
      <c r="D167" s="1">
        <v>46214</v>
      </c>
      <c r="E167" s="3" t="s">
        <v>187</v>
      </c>
      <c r="F167" s="3" t="s">
        <v>174</v>
      </c>
      <c r="G167" s="4" t="s">
        <v>175</v>
      </c>
      <c r="H167" s="4" t="s">
        <v>176</v>
      </c>
      <c r="I167" s="5" t="s">
        <v>198</v>
      </c>
      <c r="J167" s="5" t="s">
        <v>228</v>
      </c>
      <c r="K167" s="6">
        <v>0</v>
      </c>
      <c r="L167" s="5" t="s">
        <v>252</v>
      </c>
    </row>
    <row r="168" spans="1:12">
      <c r="A168" s="3" t="s">
        <v>145</v>
      </c>
      <c r="B168" s="3" t="s">
        <v>146</v>
      </c>
      <c r="C168" s="3" t="s">
        <v>172</v>
      </c>
      <c r="D168" s="1">
        <v>46215</v>
      </c>
      <c r="E168" s="3" t="s">
        <v>191</v>
      </c>
      <c r="F168" s="3" t="s">
        <v>192</v>
      </c>
      <c r="G168" s="4" t="s">
        <v>175</v>
      </c>
      <c r="H168" s="4" t="s">
        <v>176</v>
      </c>
      <c r="I168" s="5"/>
      <c r="J168" s="5"/>
      <c r="K168" s="6"/>
      <c r="L168" s="5"/>
    </row>
    <row r="169" spans="1:12">
      <c r="A169" s="3" t="s">
        <v>145</v>
      </c>
      <c r="B169" s="3" t="s">
        <v>146</v>
      </c>
      <c r="C169" s="3" t="s">
        <v>172</v>
      </c>
      <c r="D169" s="1">
        <v>46216</v>
      </c>
      <c r="E169" s="3" t="s">
        <v>193</v>
      </c>
      <c r="F169" s="3" t="s">
        <v>174</v>
      </c>
      <c r="G169" s="4" t="s">
        <v>175</v>
      </c>
      <c r="H169" s="4" t="s">
        <v>176</v>
      </c>
      <c r="I169" s="5" t="s">
        <v>198</v>
      </c>
      <c r="J169" s="5" t="s">
        <v>237</v>
      </c>
      <c r="K169" s="6">
        <v>1.5</v>
      </c>
      <c r="L169" s="5" t="s">
        <v>262</v>
      </c>
    </row>
    <row r="170" spans="1:12">
      <c r="A170" s="3" t="s">
        <v>145</v>
      </c>
      <c r="B170" s="3" t="s">
        <v>146</v>
      </c>
      <c r="C170" s="3" t="s">
        <v>172</v>
      </c>
      <c r="D170" s="1">
        <v>46217</v>
      </c>
      <c r="E170" s="3" t="s">
        <v>197</v>
      </c>
      <c r="F170" s="3" t="s">
        <v>174</v>
      </c>
      <c r="G170" s="4" t="s">
        <v>175</v>
      </c>
      <c r="H170" s="4" t="s">
        <v>176</v>
      </c>
      <c r="I170" s="5" t="s">
        <v>211</v>
      </c>
      <c r="J170" s="5" t="s">
        <v>306</v>
      </c>
      <c r="K170" s="6">
        <v>0</v>
      </c>
      <c r="L170" s="5" t="s">
        <v>301</v>
      </c>
    </row>
    <row r="171" spans="1:12">
      <c r="A171" s="3" t="s">
        <v>145</v>
      </c>
      <c r="B171" s="3" t="s">
        <v>146</v>
      </c>
      <c r="C171" s="3" t="s">
        <v>172</v>
      </c>
      <c r="D171" s="1">
        <v>46218</v>
      </c>
      <c r="E171" s="3" t="s">
        <v>173</v>
      </c>
      <c r="F171" s="3" t="s">
        <v>174</v>
      </c>
      <c r="G171" s="4" t="s">
        <v>175</v>
      </c>
      <c r="H171" s="4" t="s">
        <v>176</v>
      </c>
      <c r="I171" s="5" t="s">
        <v>209</v>
      </c>
      <c r="J171" s="5" t="s">
        <v>253</v>
      </c>
      <c r="K171" s="6">
        <v>0</v>
      </c>
      <c r="L171" s="5" t="s">
        <v>212</v>
      </c>
    </row>
    <row r="172" spans="1:12">
      <c r="A172" s="3" t="s">
        <v>145</v>
      </c>
      <c r="B172" s="3" t="s">
        <v>146</v>
      </c>
      <c r="C172" s="3" t="s">
        <v>172</v>
      </c>
      <c r="D172" s="1">
        <v>46219</v>
      </c>
      <c r="E172" s="3" t="s">
        <v>180</v>
      </c>
      <c r="F172" s="3" t="s">
        <v>174</v>
      </c>
      <c r="G172" s="4" t="s">
        <v>175</v>
      </c>
      <c r="H172" s="4" t="s">
        <v>176</v>
      </c>
      <c r="I172" s="5" t="s">
        <v>184</v>
      </c>
      <c r="J172" s="5" t="s">
        <v>201</v>
      </c>
      <c r="K172" s="6">
        <v>0</v>
      </c>
      <c r="L172" s="5" t="s">
        <v>209</v>
      </c>
    </row>
    <row r="173" spans="1:12">
      <c r="A173" s="3" t="s">
        <v>145</v>
      </c>
      <c r="B173" s="3" t="s">
        <v>146</v>
      </c>
      <c r="C173" s="3" t="s">
        <v>172</v>
      </c>
      <c r="D173" s="1">
        <v>46220</v>
      </c>
      <c r="E173" s="3" t="s">
        <v>183</v>
      </c>
      <c r="F173" s="3" t="s">
        <v>174</v>
      </c>
      <c r="G173" s="4" t="s">
        <v>175</v>
      </c>
      <c r="H173" s="4" t="s">
        <v>176</v>
      </c>
      <c r="I173" s="5" t="s">
        <v>269</v>
      </c>
      <c r="J173" s="5" t="s">
        <v>199</v>
      </c>
      <c r="K173" s="6">
        <v>0</v>
      </c>
      <c r="L173" s="5" t="s">
        <v>208</v>
      </c>
    </row>
    <row r="174" spans="1:12">
      <c r="A174" s="3" t="s">
        <v>145</v>
      </c>
      <c r="B174" s="3" t="s">
        <v>146</v>
      </c>
      <c r="C174" s="3" t="s">
        <v>172</v>
      </c>
      <c r="D174" s="1">
        <v>46221</v>
      </c>
      <c r="E174" s="3" t="s">
        <v>187</v>
      </c>
      <c r="F174" s="3" t="s">
        <v>174</v>
      </c>
      <c r="G174" s="4" t="s">
        <v>175</v>
      </c>
      <c r="H174" s="4" t="s">
        <v>176</v>
      </c>
      <c r="I174" s="5" t="s">
        <v>190</v>
      </c>
      <c r="J174" s="5" t="s">
        <v>307</v>
      </c>
      <c r="K174" s="6">
        <v>1.5</v>
      </c>
      <c r="L174" s="5" t="s">
        <v>240</v>
      </c>
    </row>
    <row r="175" spans="1:12">
      <c r="A175" s="3" t="s">
        <v>145</v>
      </c>
      <c r="B175" s="3" t="s">
        <v>146</v>
      </c>
      <c r="C175" s="3" t="s">
        <v>172</v>
      </c>
      <c r="D175" s="1">
        <v>46222</v>
      </c>
      <c r="E175" s="3" t="s">
        <v>191</v>
      </c>
      <c r="F175" s="3" t="s">
        <v>192</v>
      </c>
      <c r="G175" s="4" t="s">
        <v>175</v>
      </c>
      <c r="H175" s="4" t="s">
        <v>176</v>
      </c>
      <c r="I175" s="5"/>
      <c r="J175" s="5"/>
      <c r="K175" s="6"/>
      <c r="L175" s="5"/>
    </row>
    <row r="176" spans="1:12">
      <c r="A176" s="3" t="s">
        <v>145</v>
      </c>
      <c r="B176" s="3" t="s">
        <v>146</v>
      </c>
      <c r="C176" s="3" t="s">
        <v>172</v>
      </c>
      <c r="D176" s="1">
        <v>46223</v>
      </c>
      <c r="E176" s="3" t="s">
        <v>193</v>
      </c>
      <c r="F176" s="3" t="s">
        <v>174</v>
      </c>
      <c r="G176" s="4" t="s">
        <v>175</v>
      </c>
      <c r="H176" s="4" t="s">
        <v>176</v>
      </c>
      <c r="I176" s="5" t="s">
        <v>184</v>
      </c>
      <c r="J176" s="5" t="s">
        <v>220</v>
      </c>
      <c r="K176" s="6">
        <v>0</v>
      </c>
      <c r="L176" s="5" t="s">
        <v>219</v>
      </c>
    </row>
    <row r="177" spans="1:12">
      <c r="A177" s="3" t="s">
        <v>145</v>
      </c>
      <c r="B177" s="3" t="s">
        <v>146</v>
      </c>
      <c r="C177" s="3" t="s">
        <v>172</v>
      </c>
      <c r="D177" s="1">
        <v>46224</v>
      </c>
      <c r="E177" s="3" t="s">
        <v>197</v>
      </c>
      <c r="F177" s="3" t="s">
        <v>174</v>
      </c>
      <c r="G177" s="4" t="s">
        <v>175</v>
      </c>
      <c r="H177" s="4" t="s">
        <v>176</v>
      </c>
      <c r="I177" s="5" t="s">
        <v>252</v>
      </c>
      <c r="J177" s="5" t="s">
        <v>288</v>
      </c>
      <c r="K177" s="6">
        <v>1.5</v>
      </c>
      <c r="L177" s="5" t="s">
        <v>308</v>
      </c>
    </row>
    <row r="178" spans="1:12">
      <c r="A178" s="3" t="s">
        <v>145</v>
      </c>
      <c r="B178" s="3" t="s">
        <v>146</v>
      </c>
      <c r="C178" s="3" t="s">
        <v>172</v>
      </c>
      <c r="D178" s="1">
        <v>46225</v>
      </c>
      <c r="E178" s="3" t="s">
        <v>173</v>
      </c>
      <c r="F178" s="3" t="s">
        <v>174</v>
      </c>
      <c r="G178" s="4" t="s">
        <v>175</v>
      </c>
      <c r="H178" s="4" t="s">
        <v>176</v>
      </c>
      <c r="I178" s="5" t="s">
        <v>186</v>
      </c>
      <c r="J178" s="5" t="s">
        <v>268</v>
      </c>
      <c r="K178" s="6">
        <v>0</v>
      </c>
      <c r="L178" s="5" t="s">
        <v>300</v>
      </c>
    </row>
    <row r="179" spans="1:12">
      <c r="A179" s="3" t="s">
        <v>145</v>
      </c>
      <c r="B179" s="3" t="s">
        <v>146</v>
      </c>
      <c r="C179" s="3" t="s">
        <v>172</v>
      </c>
      <c r="D179" s="1">
        <v>46226</v>
      </c>
      <c r="E179" s="3" t="s">
        <v>180</v>
      </c>
      <c r="F179" s="3" t="s">
        <v>174</v>
      </c>
      <c r="G179" s="4" t="s">
        <v>175</v>
      </c>
      <c r="H179" s="4" t="s">
        <v>176</v>
      </c>
      <c r="I179" s="5" t="s">
        <v>202</v>
      </c>
      <c r="J179" s="5" t="s">
        <v>237</v>
      </c>
      <c r="K179" s="6">
        <v>1.5</v>
      </c>
      <c r="L179" s="5" t="s">
        <v>249</v>
      </c>
    </row>
    <row r="180" spans="1:12">
      <c r="A180" s="3" t="s">
        <v>145</v>
      </c>
      <c r="B180" s="3" t="s">
        <v>146</v>
      </c>
      <c r="C180" s="3" t="s">
        <v>172</v>
      </c>
      <c r="D180" s="1">
        <v>46227</v>
      </c>
      <c r="E180" s="3" t="s">
        <v>183</v>
      </c>
      <c r="F180" s="3" t="s">
        <v>174</v>
      </c>
      <c r="G180" s="4" t="s">
        <v>175</v>
      </c>
      <c r="H180" s="4" t="s">
        <v>176</v>
      </c>
      <c r="I180" s="5" t="s">
        <v>184</v>
      </c>
      <c r="J180" s="5" t="s">
        <v>244</v>
      </c>
      <c r="K180" s="6">
        <v>1.5</v>
      </c>
      <c r="L180" s="5" t="s">
        <v>245</v>
      </c>
    </row>
    <row r="181" spans="1:12">
      <c r="A181" s="3" t="s">
        <v>145</v>
      </c>
      <c r="B181" s="3" t="s">
        <v>146</v>
      </c>
      <c r="C181" s="3" t="s">
        <v>172</v>
      </c>
      <c r="D181" s="1">
        <v>46228</v>
      </c>
      <c r="E181" s="3" t="s">
        <v>187</v>
      </c>
      <c r="F181" s="3" t="s">
        <v>174</v>
      </c>
      <c r="G181" s="4" t="s">
        <v>175</v>
      </c>
      <c r="H181" s="4" t="s">
        <v>176</v>
      </c>
      <c r="I181" s="5" t="s">
        <v>198</v>
      </c>
      <c r="J181" s="5" t="s">
        <v>185</v>
      </c>
      <c r="K181" s="6">
        <v>0</v>
      </c>
      <c r="L181" s="5" t="s">
        <v>198</v>
      </c>
    </row>
    <row r="182" spans="1:12">
      <c r="A182" s="3" t="s">
        <v>145</v>
      </c>
      <c r="B182" s="3" t="s">
        <v>146</v>
      </c>
      <c r="C182" s="3" t="s">
        <v>172</v>
      </c>
      <c r="D182" s="1">
        <v>46229</v>
      </c>
      <c r="E182" s="3" t="s">
        <v>191</v>
      </c>
      <c r="F182" s="3" t="s">
        <v>192</v>
      </c>
      <c r="G182" s="4" t="s">
        <v>175</v>
      </c>
      <c r="H182" s="4" t="s">
        <v>176</v>
      </c>
      <c r="I182" s="5"/>
      <c r="J182" s="5"/>
      <c r="K182" s="6"/>
      <c r="L182" s="5"/>
    </row>
    <row r="183" spans="1:12">
      <c r="A183" s="3" t="s">
        <v>145</v>
      </c>
      <c r="B183" s="3" t="s">
        <v>146</v>
      </c>
      <c r="C183" s="3" t="s">
        <v>172</v>
      </c>
      <c r="D183" s="1">
        <v>46230</v>
      </c>
      <c r="E183" s="3" t="s">
        <v>193</v>
      </c>
      <c r="F183" s="3" t="s">
        <v>174</v>
      </c>
      <c r="G183" s="4" t="s">
        <v>175</v>
      </c>
      <c r="H183" s="4" t="s">
        <v>176</v>
      </c>
      <c r="I183" s="5" t="s">
        <v>198</v>
      </c>
      <c r="J183" s="5" t="s">
        <v>254</v>
      </c>
      <c r="K183" s="6">
        <v>0</v>
      </c>
      <c r="L183" s="5" t="s">
        <v>274</v>
      </c>
    </row>
    <row r="184" spans="1:12">
      <c r="A184" s="3" t="s">
        <v>145</v>
      </c>
      <c r="B184" s="3" t="s">
        <v>146</v>
      </c>
      <c r="C184" s="3" t="s">
        <v>172</v>
      </c>
      <c r="D184" s="1">
        <v>46231</v>
      </c>
      <c r="E184" s="3" t="s">
        <v>197</v>
      </c>
      <c r="F184" s="3" t="s">
        <v>174</v>
      </c>
      <c r="G184" s="4" t="s">
        <v>175</v>
      </c>
      <c r="H184" s="4" t="s">
        <v>176</v>
      </c>
      <c r="I184" s="5" t="s">
        <v>205</v>
      </c>
      <c r="J184" s="5" t="s">
        <v>293</v>
      </c>
      <c r="K184" s="6">
        <v>1.5</v>
      </c>
      <c r="L184" s="5" t="s">
        <v>297</v>
      </c>
    </row>
    <row r="185" spans="1:12">
      <c r="A185" s="3" t="s">
        <v>145</v>
      </c>
      <c r="B185" s="3" t="s">
        <v>146</v>
      </c>
      <c r="C185" s="3" t="s">
        <v>172</v>
      </c>
      <c r="D185" s="1">
        <v>46232</v>
      </c>
      <c r="E185" s="3" t="s">
        <v>173</v>
      </c>
      <c r="F185" s="3" t="s">
        <v>174</v>
      </c>
      <c r="G185" s="4" t="s">
        <v>175</v>
      </c>
      <c r="H185" s="4" t="s">
        <v>176</v>
      </c>
      <c r="I185" s="5" t="s">
        <v>186</v>
      </c>
      <c r="J185" s="5" t="s">
        <v>264</v>
      </c>
      <c r="K185" s="6">
        <v>0</v>
      </c>
      <c r="L185" s="5" t="s">
        <v>186</v>
      </c>
    </row>
    <row r="186" spans="1:12">
      <c r="A186" s="3" t="s">
        <v>145</v>
      </c>
      <c r="B186" s="3" t="s">
        <v>146</v>
      </c>
      <c r="C186" s="3" t="s">
        <v>172</v>
      </c>
      <c r="D186" s="1">
        <v>46233</v>
      </c>
      <c r="E186" s="3" t="s">
        <v>180</v>
      </c>
      <c r="F186" s="3" t="s">
        <v>174</v>
      </c>
      <c r="G186" s="4" t="s">
        <v>175</v>
      </c>
      <c r="H186" s="4" t="s">
        <v>176</v>
      </c>
      <c r="I186" s="5" t="s">
        <v>219</v>
      </c>
      <c r="J186" s="5" t="s">
        <v>309</v>
      </c>
      <c r="K186" s="6">
        <v>0</v>
      </c>
      <c r="L186" s="5" t="s">
        <v>280</v>
      </c>
    </row>
    <row r="187" spans="1:12">
      <c r="A187" s="3" t="s">
        <v>145</v>
      </c>
      <c r="B187" s="3" t="s">
        <v>146</v>
      </c>
      <c r="C187" s="3" t="s">
        <v>172</v>
      </c>
      <c r="D187" s="1">
        <v>46234</v>
      </c>
      <c r="E187" s="3" t="s">
        <v>183</v>
      </c>
      <c r="F187" s="3" t="s">
        <v>174</v>
      </c>
      <c r="G187" s="4" t="s">
        <v>175</v>
      </c>
      <c r="H187" s="4" t="s">
        <v>176</v>
      </c>
      <c r="I187" s="5" t="s">
        <v>205</v>
      </c>
      <c r="J187" s="5" t="s">
        <v>310</v>
      </c>
      <c r="K187" s="6">
        <v>1</v>
      </c>
      <c r="L187" s="5" t="s">
        <v>311</v>
      </c>
    </row>
    <row r="188" spans="1:12">
      <c r="A188" s="3" t="s">
        <v>147</v>
      </c>
      <c r="B188" s="3" t="s">
        <v>148</v>
      </c>
      <c r="C188" s="3" t="s">
        <v>172</v>
      </c>
      <c r="D188" s="1">
        <v>46204</v>
      </c>
      <c r="E188" s="3" t="s">
        <v>173</v>
      </c>
      <c r="F188" s="3" t="s">
        <v>174</v>
      </c>
      <c r="G188" s="4" t="s">
        <v>175</v>
      </c>
      <c r="H188" s="4" t="s">
        <v>176</v>
      </c>
      <c r="I188" s="5" t="s">
        <v>184</v>
      </c>
      <c r="J188" s="5" t="s">
        <v>295</v>
      </c>
      <c r="K188" s="6">
        <v>1.5</v>
      </c>
      <c r="L188" s="5" t="s">
        <v>258</v>
      </c>
    </row>
    <row r="189" spans="1:12">
      <c r="A189" s="3" t="s">
        <v>147</v>
      </c>
      <c r="B189" s="3" t="s">
        <v>148</v>
      </c>
      <c r="C189" s="3" t="s">
        <v>172</v>
      </c>
      <c r="D189" s="1">
        <v>46205</v>
      </c>
      <c r="E189" s="3" t="s">
        <v>180</v>
      </c>
      <c r="F189" s="3" t="s">
        <v>174</v>
      </c>
      <c r="G189" s="4" t="s">
        <v>175</v>
      </c>
      <c r="H189" s="4" t="s">
        <v>176</v>
      </c>
      <c r="I189" s="5" t="s">
        <v>209</v>
      </c>
      <c r="J189" s="5" t="s">
        <v>261</v>
      </c>
      <c r="K189" s="6">
        <v>1.5</v>
      </c>
      <c r="L189" s="5" t="s">
        <v>297</v>
      </c>
    </row>
    <row r="190" spans="1:12">
      <c r="A190" s="3" t="s">
        <v>147</v>
      </c>
      <c r="B190" s="3" t="s">
        <v>148</v>
      </c>
      <c r="C190" s="3" t="s">
        <v>172</v>
      </c>
      <c r="D190" s="1">
        <v>46206</v>
      </c>
      <c r="E190" s="3" t="s">
        <v>183</v>
      </c>
      <c r="F190" s="3" t="s">
        <v>174</v>
      </c>
      <c r="G190" s="4" t="s">
        <v>175</v>
      </c>
      <c r="H190" s="4" t="s">
        <v>176</v>
      </c>
      <c r="I190" s="5" t="s">
        <v>184</v>
      </c>
      <c r="J190" s="5" t="s">
        <v>214</v>
      </c>
      <c r="K190" s="6">
        <v>0</v>
      </c>
      <c r="L190" s="5" t="s">
        <v>222</v>
      </c>
    </row>
    <row r="191" spans="1:12">
      <c r="A191" s="3" t="s">
        <v>147</v>
      </c>
      <c r="B191" s="3" t="s">
        <v>148</v>
      </c>
      <c r="C191" s="3" t="s">
        <v>172</v>
      </c>
      <c r="D191" s="1">
        <v>46207</v>
      </c>
      <c r="E191" s="3" t="s">
        <v>187</v>
      </c>
      <c r="F191" s="3" t="s">
        <v>174</v>
      </c>
      <c r="G191" s="4" t="s">
        <v>175</v>
      </c>
      <c r="H191" s="4" t="s">
        <v>176</v>
      </c>
      <c r="I191" s="5" t="s">
        <v>209</v>
      </c>
      <c r="J191" s="5" t="s">
        <v>220</v>
      </c>
      <c r="K191" s="6">
        <v>0</v>
      </c>
      <c r="L191" s="5" t="s">
        <v>222</v>
      </c>
    </row>
    <row r="192" spans="1:12">
      <c r="A192" s="3" t="s">
        <v>147</v>
      </c>
      <c r="B192" s="3" t="s">
        <v>148</v>
      </c>
      <c r="C192" s="3" t="s">
        <v>172</v>
      </c>
      <c r="D192" s="1">
        <v>46208</v>
      </c>
      <c r="E192" s="3" t="s">
        <v>191</v>
      </c>
      <c r="F192" s="3" t="s">
        <v>192</v>
      </c>
      <c r="G192" s="4" t="s">
        <v>175</v>
      </c>
      <c r="H192" s="4" t="s">
        <v>176</v>
      </c>
      <c r="I192" s="5"/>
      <c r="J192" s="5"/>
      <c r="K192" s="6"/>
      <c r="L192" s="5"/>
    </row>
    <row r="193" spans="1:12">
      <c r="A193" s="3" t="s">
        <v>147</v>
      </c>
      <c r="B193" s="3" t="s">
        <v>148</v>
      </c>
      <c r="C193" s="3" t="s">
        <v>172</v>
      </c>
      <c r="D193" s="1">
        <v>46209</v>
      </c>
      <c r="E193" s="3" t="s">
        <v>193</v>
      </c>
      <c r="F193" s="3" t="s">
        <v>174</v>
      </c>
      <c r="G193" s="4" t="s">
        <v>175</v>
      </c>
      <c r="H193" s="4" t="s">
        <v>176</v>
      </c>
      <c r="I193" s="5" t="s">
        <v>219</v>
      </c>
      <c r="J193" s="5" t="s">
        <v>214</v>
      </c>
      <c r="K193" s="6">
        <v>0</v>
      </c>
      <c r="L193" s="5" t="s">
        <v>217</v>
      </c>
    </row>
    <row r="194" spans="1:12">
      <c r="A194" s="3" t="s">
        <v>147</v>
      </c>
      <c r="B194" s="3" t="s">
        <v>148</v>
      </c>
      <c r="C194" s="3" t="s">
        <v>172</v>
      </c>
      <c r="D194" s="1">
        <v>46210</v>
      </c>
      <c r="E194" s="3" t="s">
        <v>197</v>
      </c>
      <c r="F194" s="3" t="s">
        <v>174</v>
      </c>
      <c r="G194" s="4" t="s">
        <v>175</v>
      </c>
      <c r="H194" s="4" t="s">
        <v>176</v>
      </c>
      <c r="I194" s="5" t="s">
        <v>211</v>
      </c>
      <c r="J194" s="5" t="s">
        <v>246</v>
      </c>
      <c r="K194" s="6">
        <v>1.5</v>
      </c>
      <c r="L194" s="5" t="s">
        <v>251</v>
      </c>
    </row>
    <row r="195" spans="1:12">
      <c r="A195" s="3" t="s">
        <v>147</v>
      </c>
      <c r="B195" s="3" t="s">
        <v>148</v>
      </c>
      <c r="C195" s="3" t="s">
        <v>172</v>
      </c>
      <c r="D195" s="1">
        <v>46211</v>
      </c>
      <c r="E195" s="3" t="s">
        <v>173</v>
      </c>
      <c r="F195" s="3" t="s">
        <v>174</v>
      </c>
      <c r="G195" s="4" t="s">
        <v>175</v>
      </c>
      <c r="H195" s="4" t="s">
        <v>176</v>
      </c>
      <c r="I195" s="5" t="s">
        <v>184</v>
      </c>
      <c r="J195" s="5" t="s">
        <v>241</v>
      </c>
      <c r="K195" s="6">
        <v>1.5</v>
      </c>
      <c r="L195" s="5" t="s">
        <v>256</v>
      </c>
    </row>
    <row r="196" spans="1:12">
      <c r="A196" s="3" t="s">
        <v>147</v>
      </c>
      <c r="B196" s="3" t="s">
        <v>148</v>
      </c>
      <c r="C196" s="3" t="s">
        <v>172</v>
      </c>
      <c r="D196" s="1">
        <v>46212</v>
      </c>
      <c r="E196" s="3" t="s">
        <v>180</v>
      </c>
      <c r="F196" s="3" t="s">
        <v>174</v>
      </c>
      <c r="G196" s="4" t="s">
        <v>175</v>
      </c>
      <c r="H196" s="4" t="s">
        <v>176</v>
      </c>
      <c r="I196" s="5" t="s">
        <v>198</v>
      </c>
      <c r="J196" s="5" t="s">
        <v>257</v>
      </c>
      <c r="K196" s="6">
        <v>1.5</v>
      </c>
      <c r="L196" s="5" t="s">
        <v>292</v>
      </c>
    </row>
    <row r="197" spans="1:12">
      <c r="A197" s="3" t="s">
        <v>147</v>
      </c>
      <c r="B197" s="3" t="s">
        <v>148</v>
      </c>
      <c r="C197" s="3" t="s">
        <v>172</v>
      </c>
      <c r="D197" s="1">
        <v>46213</v>
      </c>
      <c r="E197" s="3" t="s">
        <v>183</v>
      </c>
      <c r="F197" s="3" t="s">
        <v>174</v>
      </c>
      <c r="G197" s="4" t="s">
        <v>175</v>
      </c>
      <c r="H197" s="4" t="s">
        <v>176</v>
      </c>
      <c r="I197" s="5" t="s">
        <v>269</v>
      </c>
      <c r="J197" s="5" t="s">
        <v>248</v>
      </c>
      <c r="K197" s="6">
        <v>1.5</v>
      </c>
      <c r="L197" s="5" t="s">
        <v>283</v>
      </c>
    </row>
    <row r="198" spans="1:12">
      <c r="A198" s="3" t="s">
        <v>147</v>
      </c>
      <c r="B198" s="3" t="s">
        <v>148</v>
      </c>
      <c r="C198" s="3" t="s">
        <v>172</v>
      </c>
      <c r="D198" s="1">
        <v>46214</v>
      </c>
      <c r="E198" s="3" t="s">
        <v>187</v>
      </c>
      <c r="F198" s="3" t="s">
        <v>174</v>
      </c>
      <c r="G198" s="4" t="s">
        <v>175</v>
      </c>
      <c r="H198" s="4" t="s">
        <v>176</v>
      </c>
      <c r="I198" s="5" t="s">
        <v>219</v>
      </c>
      <c r="J198" s="5" t="s">
        <v>289</v>
      </c>
      <c r="K198" s="6">
        <v>1.5</v>
      </c>
      <c r="L198" s="5" t="s">
        <v>312</v>
      </c>
    </row>
    <row r="199" spans="1:12">
      <c r="A199" s="3" t="s">
        <v>147</v>
      </c>
      <c r="B199" s="3" t="s">
        <v>148</v>
      </c>
      <c r="C199" s="3" t="s">
        <v>172</v>
      </c>
      <c r="D199" s="1">
        <v>46215</v>
      </c>
      <c r="E199" s="3" t="s">
        <v>191</v>
      </c>
      <c r="F199" s="3" t="s">
        <v>192</v>
      </c>
      <c r="G199" s="4" t="s">
        <v>175</v>
      </c>
      <c r="H199" s="4" t="s">
        <v>176</v>
      </c>
      <c r="I199" s="5"/>
      <c r="J199" s="5"/>
      <c r="K199" s="6"/>
      <c r="L199" s="5"/>
    </row>
    <row r="200" spans="1:12">
      <c r="A200" s="3" t="s">
        <v>147</v>
      </c>
      <c r="B200" s="3" t="s">
        <v>148</v>
      </c>
      <c r="C200" s="3" t="s">
        <v>172</v>
      </c>
      <c r="D200" s="1">
        <v>46216</v>
      </c>
      <c r="E200" s="3" t="s">
        <v>193</v>
      </c>
      <c r="F200" s="3" t="s">
        <v>174</v>
      </c>
      <c r="G200" s="4" t="s">
        <v>175</v>
      </c>
      <c r="H200" s="4" t="s">
        <v>176</v>
      </c>
      <c r="I200" s="5" t="s">
        <v>188</v>
      </c>
      <c r="J200" s="5" t="s">
        <v>228</v>
      </c>
      <c r="K200" s="6">
        <v>0</v>
      </c>
      <c r="L200" s="5" t="s">
        <v>186</v>
      </c>
    </row>
    <row r="201" spans="1:12">
      <c r="A201" s="3" t="s">
        <v>147</v>
      </c>
      <c r="B201" s="3" t="s">
        <v>148</v>
      </c>
      <c r="C201" s="3" t="s">
        <v>172</v>
      </c>
      <c r="D201" s="1">
        <v>46217</v>
      </c>
      <c r="E201" s="3" t="s">
        <v>197</v>
      </c>
      <c r="F201" s="3" t="s">
        <v>174</v>
      </c>
      <c r="G201" s="4" t="s">
        <v>175</v>
      </c>
      <c r="H201" s="4" t="s">
        <v>176</v>
      </c>
      <c r="I201" s="5" t="s">
        <v>208</v>
      </c>
      <c r="J201" s="5" t="s">
        <v>313</v>
      </c>
      <c r="K201" s="6">
        <v>1.5</v>
      </c>
      <c r="L201" s="5" t="s">
        <v>314</v>
      </c>
    </row>
    <row r="202" spans="1:12">
      <c r="A202" s="3" t="s">
        <v>147</v>
      </c>
      <c r="B202" s="3" t="s">
        <v>148</v>
      </c>
      <c r="C202" s="3" t="s">
        <v>172</v>
      </c>
      <c r="D202" s="1">
        <v>46218</v>
      </c>
      <c r="E202" s="3" t="s">
        <v>173</v>
      </c>
      <c r="F202" s="3" t="s">
        <v>174</v>
      </c>
      <c r="G202" s="4" t="s">
        <v>175</v>
      </c>
      <c r="H202" s="4" t="s">
        <v>176</v>
      </c>
      <c r="I202" s="5" t="s">
        <v>190</v>
      </c>
      <c r="J202" s="5" t="s">
        <v>237</v>
      </c>
      <c r="K202" s="6">
        <v>1.5</v>
      </c>
      <c r="L202" s="5" t="s">
        <v>227</v>
      </c>
    </row>
    <row r="203" spans="1:12">
      <c r="A203" s="3" t="s">
        <v>147</v>
      </c>
      <c r="B203" s="3" t="s">
        <v>148</v>
      </c>
      <c r="C203" s="3" t="s">
        <v>172</v>
      </c>
      <c r="D203" s="1">
        <v>46219</v>
      </c>
      <c r="E203" s="3" t="s">
        <v>180</v>
      </c>
      <c r="F203" s="3" t="s">
        <v>174</v>
      </c>
      <c r="G203" s="4" t="s">
        <v>175</v>
      </c>
      <c r="H203" s="4" t="s">
        <v>176</v>
      </c>
      <c r="I203" s="5" t="s">
        <v>208</v>
      </c>
      <c r="J203" s="5" t="s">
        <v>284</v>
      </c>
      <c r="K203" s="6">
        <v>1.5</v>
      </c>
      <c r="L203" s="5" t="s">
        <v>292</v>
      </c>
    </row>
    <row r="204" spans="1:12">
      <c r="A204" s="3" t="s">
        <v>147</v>
      </c>
      <c r="B204" s="3" t="s">
        <v>148</v>
      </c>
      <c r="C204" s="3" t="s">
        <v>172</v>
      </c>
      <c r="D204" s="1">
        <v>46220</v>
      </c>
      <c r="E204" s="3" t="s">
        <v>183</v>
      </c>
      <c r="F204" s="3" t="s">
        <v>174</v>
      </c>
      <c r="G204" s="4" t="s">
        <v>175</v>
      </c>
      <c r="H204" s="4" t="s">
        <v>176</v>
      </c>
      <c r="I204" s="5" t="s">
        <v>188</v>
      </c>
      <c r="J204" s="5" t="s">
        <v>241</v>
      </c>
      <c r="K204" s="6">
        <v>1.5</v>
      </c>
      <c r="L204" s="5" t="s">
        <v>315</v>
      </c>
    </row>
    <row r="205" spans="1:12">
      <c r="A205" s="3" t="s">
        <v>147</v>
      </c>
      <c r="B205" s="3" t="s">
        <v>148</v>
      </c>
      <c r="C205" s="3" t="s">
        <v>172</v>
      </c>
      <c r="D205" s="1">
        <v>46221</v>
      </c>
      <c r="E205" s="3" t="s">
        <v>187</v>
      </c>
      <c r="F205" s="3" t="s">
        <v>174</v>
      </c>
      <c r="G205" s="4" t="s">
        <v>175</v>
      </c>
      <c r="H205" s="4" t="s">
        <v>176</v>
      </c>
      <c r="I205" s="5" t="s">
        <v>194</v>
      </c>
      <c r="J205" s="5" t="s">
        <v>216</v>
      </c>
      <c r="K205" s="6">
        <v>0</v>
      </c>
      <c r="L205" s="5" t="s">
        <v>200</v>
      </c>
    </row>
    <row r="206" spans="1:12">
      <c r="A206" s="3" t="s">
        <v>147</v>
      </c>
      <c r="B206" s="3" t="s">
        <v>148</v>
      </c>
      <c r="C206" s="3" t="s">
        <v>172</v>
      </c>
      <c r="D206" s="1">
        <v>46222</v>
      </c>
      <c r="E206" s="3" t="s">
        <v>191</v>
      </c>
      <c r="F206" s="3" t="s">
        <v>192</v>
      </c>
      <c r="G206" s="4" t="s">
        <v>175</v>
      </c>
      <c r="H206" s="4" t="s">
        <v>176</v>
      </c>
      <c r="I206" s="5"/>
      <c r="J206" s="5"/>
      <c r="K206" s="6"/>
      <c r="L206" s="5"/>
    </row>
    <row r="207" spans="1:12">
      <c r="A207" s="3" t="s">
        <v>147</v>
      </c>
      <c r="B207" s="3" t="s">
        <v>148</v>
      </c>
      <c r="C207" s="3" t="s">
        <v>172</v>
      </c>
      <c r="D207" s="1">
        <v>46223</v>
      </c>
      <c r="E207" s="3" t="s">
        <v>193</v>
      </c>
      <c r="F207" s="3" t="s">
        <v>174</v>
      </c>
      <c r="G207" s="4" t="s">
        <v>175</v>
      </c>
      <c r="H207" s="4" t="s">
        <v>176</v>
      </c>
      <c r="I207" s="5" t="s">
        <v>205</v>
      </c>
      <c r="J207" s="5" t="s">
        <v>214</v>
      </c>
      <c r="K207" s="6">
        <v>0</v>
      </c>
      <c r="L207" s="5" t="s">
        <v>277</v>
      </c>
    </row>
    <row r="208" spans="1:12">
      <c r="A208" s="3" t="s">
        <v>147</v>
      </c>
      <c r="B208" s="3" t="s">
        <v>148</v>
      </c>
      <c r="C208" s="3" t="s">
        <v>172</v>
      </c>
      <c r="D208" s="1">
        <v>46224</v>
      </c>
      <c r="E208" s="3" t="s">
        <v>197</v>
      </c>
      <c r="F208" s="3" t="s">
        <v>174</v>
      </c>
      <c r="G208" s="4" t="s">
        <v>175</v>
      </c>
      <c r="H208" s="4" t="s">
        <v>176</v>
      </c>
      <c r="I208" s="5" t="s">
        <v>208</v>
      </c>
      <c r="J208" s="5" t="s">
        <v>270</v>
      </c>
      <c r="K208" s="6">
        <v>0</v>
      </c>
      <c r="L208" s="5" t="s">
        <v>222</v>
      </c>
    </row>
    <row r="209" spans="1:12">
      <c r="A209" s="3" t="s">
        <v>147</v>
      </c>
      <c r="B209" s="3" t="s">
        <v>148</v>
      </c>
      <c r="C209" s="3" t="s">
        <v>172</v>
      </c>
      <c r="D209" s="1">
        <v>46225</v>
      </c>
      <c r="E209" s="3" t="s">
        <v>173</v>
      </c>
      <c r="F209" s="3" t="s">
        <v>174</v>
      </c>
      <c r="G209" s="4" t="s">
        <v>175</v>
      </c>
      <c r="H209" s="4" t="s">
        <v>176</v>
      </c>
      <c r="I209" s="5" t="s">
        <v>211</v>
      </c>
      <c r="J209" s="5" t="s">
        <v>307</v>
      </c>
      <c r="K209" s="6">
        <v>1.5</v>
      </c>
      <c r="L209" s="5" t="s">
        <v>316</v>
      </c>
    </row>
    <row r="210" spans="1:12">
      <c r="A210" s="3" t="s">
        <v>147</v>
      </c>
      <c r="B210" s="3" t="s">
        <v>148</v>
      </c>
      <c r="C210" s="3" t="s">
        <v>172</v>
      </c>
      <c r="D210" s="1">
        <v>46226</v>
      </c>
      <c r="E210" s="3" t="s">
        <v>180</v>
      </c>
      <c r="F210" s="3" t="s">
        <v>174</v>
      </c>
      <c r="G210" s="4" t="s">
        <v>175</v>
      </c>
      <c r="H210" s="4" t="s">
        <v>176</v>
      </c>
      <c r="I210" s="5" t="s">
        <v>208</v>
      </c>
      <c r="J210" s="5" t="s">
        <v>210</v>
      </c>
      <c r="K210" s="6">
        <v>0</v>
      </c>
      <c r="L210" s="5" t="s">
        <v>188</v>
      </c>
    </row>
    <row r="211" spans="1:12">
      <c r="A211" s="3" t="s">
        <v>147</v>
      </c>
      <c r="B211" s="3" t="s">
        <v>148</v>
      </c>
      <c r="C211" s="3" t="s">
        <v>172</v>
      </c>
      <c r="D211" s="1">
        <v>46227</v>
      </c>
      <c r="E211" s="3" t="s">
        <v>183</v>
      </c>
      <c r="F211" s="3" t="s">
        <v>174</v>
      </c>
      <c r="G211" s="4" t="s">
        <v>175</v>
      </c>
      <c r="H211" s="4" t="s">
        <v>176</v>
      </c>
      <c r="I211" s="5" t="s">
        <v>194</v>
      </c>
      <c r="J211" s="5" t="s">
        <v>317</v>
      </c>
      <c r="K211" s="6">
        <v>1.5</v>
      </c>
      <c r="L211" s="5" t="s">
        <v>256</v>
      </c>
    </row>
    <row r="212" spans="1:12">
      <c r="A212" s="3" t="s">
        <v>147</v>
      </c>
      <c r="B212" s="3" t="s">
        <v>148</v>
      </c>
      <c r="C212" s="3" t="s">
        <v>172</v>
      </c>
      <c r="D212" s="1">
        <v>46228</v>
      </c>
      <c r="E212" s="3" t="s">
        <v>187</v>
      </c>
      <c r="F212" s="3" t="s">
        <v>174</v>
      </c>
      <c r="G212" s="4" t="s">
        <v>175</v>
      </c>
      <c r="H212" s="4" t="s">
        <v>176</v>
      </c>
      <c r="I212" s="5" t="s">
        <v>177</v>
      </c>
      <c r="J212" s="5" t="s">
        <v>242</v>
      </c>
      <c r="K212" s="6">
        <v>1.5</v>
      </c>
      <c r="L212" s="5" t="s">
        <v>318</v>
      </c>
    </row>
    <row r="213" spans="1:12">
      <c r="A213" s="3" t="s">
        <v>147</v>
      </c>
      <c r="B213" s="3" t="s">
        <v>148</v>
      </c>
      <c r="C213" s="3" t="s">
        <v>172</v>
      </c>
      <c r="D213" s="1">
        <v>46229</v>
      </c>
      <c r="E213" s="3" t="s">
        <v>191</v>
      </c>
      <c r="F213" s="3" t="s">
        <v>192</v>
      </c>
      <c r="G213" s="4" t="s">
        <v>175</v>
      </c>
      <c r="H213" s="4" t="s">
        <v>176</v>
      </c>
      <c r="I213" s="5"/>
      <c r="J213" s="5"/>
      <c r="K213" s="6"/>
      <c r="L213" s="5"/>
    </row>
    <row r="214" spans="1:12">
      <c r="A214" s="3" t="s">
        <v>147</v>
      </c>
      <c r="B214" s="3" t="s">
        <v>148</v>
      </c>
      <c r="C214" s="3" t="s">
        <v>172</v>
      </c>
      <c r="D214" s="1">
        <v>46230</v>
      </c>
      <c r="E214" s="3" t="s">
        <v>193</v>
      </c>
      <c r="F214" s="3" t="s">
        <v>174</v>
      </c>
      <c r="G214" s="4" t="s">
        <v>175</v>
      </c>
      <c r="H214" s="4" t="s">
        <v>176</v>
      </c>
      <c r="I214" s="5" t="s">
        <v>186</v>
      </c>
      <c r="J214" s="5" t="s">
        <v>319</v>
      </c>
      <c r="K214" s="6">
        <v>1.5</v>
      </c>
      <c r="L214" s="5" t="s">
        <v>308</v>
      </c>
    </row>
    <row r="215" spans="1:12">
      <c r="A215" s="3" t="s">
        <v>147</v>
      </c>
      <c r="B215" s="3" t="s">
        <v>148</v>
      </c>
      <c r="C215" s="3" t="s">
        <v>172</v>
      </c>
      <c r="D215" s="1">
        <v>46231</v>
      </c>
      <c r="E215" s="3" t="s">
        <v>197</v>
      </c>
      <c r="F215" s="3" t="s">
        <v>174</v>
      </c>
      <c r="G215" s="4" t="s">
        <v>175</v>
      </c>
      <c r="H215" s="4" t="s">
        <v>176</v>
      </c>
      <c r="I215" s="5" t="s">
        <v>205</v>
      </c>
      <c r="J215" s="5" t="s">
        <v>320</v>
      </c>
      <c r="K215" s="6">
        <v>1.5</v>
      </c>
      <c r="L215" s="5" t="s">
        <v>231</v>
      </c>
    </row>
    <row r="216" spans="1:12">
      <c r="A216" s="3" t="s">
        <v>147</v>
      </c>
      <c r="B216" s="3" t="s">
        <v>148</v>
      </c>
      <c r="C216" s="3" t="s">
        <v>172</v>
      </c>
      <c r="D216" s="1">
        <v>46232</v>
      </c>
      <c r="E216" s="3" t="s">
        <v>173</v>
      </c>
      <c r="F216" s="3" t="s">
        <v>174</v>
      </c>
      <c r="G216" s="4" t="s">
        <v>175</v>
      </c>
      <c r="H216" s="4" t="s">
        <v>176</v>
      </c>
      <c r="I216" s="5" t="s">
        <v>177</v>
      </c>
      <c r="J216" s="5" t="s">
        <v>228</v>
      </c>
      <c r="K216" s="6">
        <v>0</v>
      </c>
      <c r="L216" s="5" t="s">
        <v>202</v>
      </c>
    </row>
    <row r="217" spans="1:12">
      <c r="A217" s="3" t="s">
        <v>147</v>
      </c>
      <c r="B217" s="3" t="s">
        <v>148</v>
      </c>
      <c r="C217" s="3" t="s">
        <v>172</v>
      </c>
      <c r="D217" s="1">
        <v>46233</v>
      </c>
      <c r="E217" s="3" t="s">
        <v>180</v>
      </c>
      <c r="F217" s="3" t="s">
        <v>174</v>
      </c>
      <c r="G217" s="4" t="s">
        <v>175</v>
      </c>
      <c r="H217" s="4" t="s">
        <v>176</v>
      </c>
      <c r="I217" s="5" t="s">
        <v>194</v>
      </c>
      <c r="J217" s="5" t="s">
        <v>276</v>
      </c>
      <c r="K217" s="6">
        <v>0</v>
      </c>
      <c r="L217" s="5" t="s">
        <v>300</v>
      </c>
    </row>
    <row r="218" spans="1:12">
      <c r="A218" s="3" t="s">
        <v>147</v>
      </c>
      <c r="B218" s="3" t="s">
        <v>148</v>
      </c>
      <c r="C218" s="3" t="s">
        <v>172</v>
      </c>
      <c r="D218" s="1">
        <v>46234</v>
      </c>
      <c r="E218" s="3" t="s">
        <v>183</v>
      </c>
      <c r="F218" s="3" t="s">
        <v>174</v>
      </c>
      <c r="G218" s="4" t="s">
        <v>175</v>
      </c>
      <c r="H218" s="4" t="s">
        <v>176</v>
      </c>
      <c r="I218" s="5" t="s">
        <v>269</v>
      </c>
      <c r="J218" s="5" t="s">
        <v>218</v>
      </c>
      <c r="K218" s="6">
        <v>0</v>
      </c>
      <c r="L218" s="5" t="s">
        <v>184</v>
      </c>
    </row>
    <row r="219" spans="1:12">
      <c r="A219" s="3" t="s">
        <v>149</v>
      </c>
      <c r="B219" s="3" t="s">
        <v>150</v>
      </c>
      <c r="C219" s="3" t="s">
        <v>172</v>
      </c>
      <c r="D219" s="1">
        <v>46204</v>
      </c>
      <c r="E219" s="3" t="s">
        <v>173</v>
      </c>
      <c r="F219" s="3" t="s">
        <v>174</v>
      </c>
      <c r="G219" s="4" t="s">
        <v>175</v>
      </c>
      <c r="H219" s="4" t="s">
        <v>176</v>
      </c>
      <c r="I219" s="5" t="s">
        <v>202</v>
      </c>
      <c r="J219" s="5" t="s">
        <v>321</v>
      </c>
      <c r="K219" s="6">
        <v>1.5</v>
      </c>
      <c r="L219" s="5" t="s">
        <v>308</v>
      </c>
    </row>
    <row r="220" spans="1:12">
      <c r="A220" s="3" t="s">
        <v>149</v>
      </c>
      <c r="B220" s="3" t="s">
        <v>150</v>
      </c>
      <c r="C220" s="3" t="s">
        <v>172</v>
      </c>
      <c r="D220" s="1">
        <v>46205</v>
      </c>
      <c r="E220" s="3" t="s">
        <v>180</v>
      </c>
      <c r="F220" s="3" t="s">
        <v>174</v>
      </c>
      <c r="G220" s="4" t="s">
        <v>175</v>
      </c>
      <c r="H220" s="4" t="s">
        <v>176</v>
      </c>
      <c r="I220" s="5" t="s">
        <v>198</v>
      </c>
      <c r="J220" s="5" t="s">
        <v>241</v>
      </c>
      <c r="K220" s="6">
        <v>1.5</v>
      </c>
      <c r="L220" s="5" t="s">
        <v>318</v>
      </c>
    </row>
    <row r="221" spans="1:12">
      <c r="A221" s="3" t="s">
        <v>149</v>
      </c>
      <c r="B221" s="3" t="s">
        <v>150</v>
      </c>
      <c r="C221" s="3" t="s">
        <v>172</v>
      </c>
      <c r="D221" s="1">
        <v>46206</v>
      </c>
      <c r="E221" s="3" t="s">
        <v>183</v>
      </c>
      <c r="F221" s="3" t="s">
        <v>174</v>
      </c>
      <c r="G221" s="4" t="s">
        <v>175</v>
      </c>
      <c r="H221" s="4" t="s">
        <v>176</v>
      </c>
      <c r="I221" s="5" t="s">
        <v>184</v>
      </c>
      <c r="J221" s="5" t="s">
        <v>246</v>
      </c>
      <c r="K221" s="6">
        <v>1.5</v>
      </c>
      <c r="L221" s="5" t="s">
        <v>287</v>
      </c>
    </row>
    <row r="222" spans="1:12">
      <c r="A222" s="3" t="s">
        <v>149</v>
      </c>
      <c r="B222" s="3" t="s">
        <v>150</v>
      </c>
      <c r="C222" s="3" t="s">
        <v>172</v>
      </c>
      <c r="D222" s="1">
        <v>46207</v>
      </c>
      <c r="E222" s="3" t="s">
        <v>187</v>
      </c>
      <c r="F222" s="3" t="s">
        <v>174</v>
      </c>
      <c r="G222" s="4" t="s">
        <v>175</v>
      </c>
      <c r="H222" s="4" t="s">
        <v>176</v>
      </c>
      <c r="I222" s="5" t="s">
        <v>209</v>
      </c>
      <c r="J222" s="5" t="s">
        <v>299</v>
      </c>
      <c r="K222" s="6">
        <v>1.5</v>
      </c>
      <c r="L222" s="5" t="s">
        <v>308</v>
      </c>
    </row>
    <row r="223" spans="1:12">
      <c r="A223" s="3" t="s">
        <v>149</v>
      </c>
      <c r="B223" s="3" t="s">
        <v>150</v>
      </c>
      <c r="C223" s="3" t="s">
        <v>172</v>
      </c>
      <c r="D223" s="1">
        <v>46208</v>
      </c>
      <c r="E223" s="3" t="s">
        <v>191</v>
      </c>
      <c r="F223" s="3" t="s">
        <v>192</v>
      </c>
      <c r="G223" s="4" t="s">
        <v>175</v>
      </c>
      <c r="H223" s="4" t="s">
        <v>176</v>
      </c>
      <c r="I223" s="5"/>
      <c r="J223" s="5"/>
      <c r="K223" s="6"/>
      <c r="L223" s="5"/>
    </row>
    <row r="224" spans="1:12">
      <c r="A224" s="3" t="s">
        <v>149</v>
      </c>
      <c r="B224" s="3" t="s">
        <v>150</v>
      </c>
      <c r="C224" s="3" t="s">
        <v>172</v>
      </c>
      <c r="D224" s="1">
        <v>46209</v>
      </c>
      <c r="E224" s="3" t="s">
        <v>193</v>
      </c>
      <c r="F224" s="3" t="s">
        <v>174</v>
      </c>
      <c r="G224" s="4" t="s">
        <v>175</v>
      </c>
      <c r="H224" s="4" t="s">
        <v>176</v>
      </c>
      <c r="I224" s="5" t="s">
        <v>208</v>
      </c>
      <c r="J224" s="5" t="s">
        <v>317</v>
      </c>
      <c r="K224" s="6">
        <v>1.5</v>
      </c>
      <c r="L224" s="5" t="s">
        <v>243</v>
      </c>
    </row>
    <row r="225" spans="1:12">
      <c r="A225" s="3" t="s">
        <v>149</v>
      </c>
      <c r="B225" s="3" t="s">
        <v>150</v>
      </c>
      <c r="C225" s="3" t="s">
        <v>172</v>
      </c>
      <c r="D225" s="1">
        <v>46210</v>
      </c>
      <c r="E225" s="3" t="s">
        <v>197</v>
      </c>
      <c r="F225" s="3" t="s">
        <v>174</v>
      </c>
      <c r="G225" s="4" t="s">
        <v>175</v>
      </c>
      <c r="H225" s="4" t="s">
        <v>176</v>
      </c>
      <c r="I225" s="5" t="s">
        <v>205</v>
      </c>
      <c r="J225" s="5" t="s">
        <v>322</v>
      </c>
      <c r="K225" s="6">
        <v>1.5</v>
      </c>
      <c r="L225" s="5" t="s">
        <v>260</v>
      </c>
    </row>
    <row r="226" spans="1:12">
      <c r="A226" s="3" t="s">
        <v>149</v>
      </c>
      <c r="B226" s="3" t="s">
        <v>150</v>
      </c>
      <c r="C226" s="3" t="s">
        <v>172</v>
      </c>
      <c r="D226" s="1">
        <v>46211</v>
      </c>
      <c r="E226" s="3" t="s">
        <v>173</v>
      </c>
      <c r="F226" s="3" t="s">
        <v>174</v>
      </c>
      <c r="G226" s="4" t="s">
        <v>175</v>
      </c>
      <c r="H226" s="4" t="s">
        <v>176</v>
      </c>
      <c r="I226" s="5" t="s">
        <v>186</v>
      </c>
      <c r="J226" s="5" t="s">
        <v>255</v>
      </c>
      <c r="K226" s="6">
        <v>1.5</v>
      </c>
      <c r="L226" s="5" t="s">
        <v>323</v>
      </c>
    </row>
    <row r="227" spans="1:12">
      <c r="A227" s="3" t="s">
        <v>149</v>
      </c>
      <c r="B227" s="3" t="s">
        <v>150</v>
      </c>
      <c r="C227" s="3" t="s">
        <v>172</v>
      </c>
      <c r="D227" s="1">
        <v>46212</v>
      </c>
      <c r="E227" s="3" t="s">
        <v>180</v>
      </c>
      <c r="F227" s="3" t="s">
        <v>174</v>
      </c>
      <c r="G227" s="4" t="s">
        <v>175</v>
      </c>
      <c r="H227" s="4" t="s">
        <v>176</v>
      </c>
      <c r="I227" s="5" t="s">
        <v>202</v>
      </c>
      <c r="J227" s="5" t="s">
        <v>317</v>
      </c>
      <c r="K227" s="6">
        <v>1.5</v>
      </c>
      <c r="L227" s="5" t="s">
        <v>318</v>
      </c>
    </row>
    <row r="228" spans="1:12">
      <c r="A228" s="3" t="s">
        <v>149</v>
      </c>
      <c r="B228" s="3" t="s">
        <v>150</v>
      </c>
      <c r="C228" s="3" t="s">
        <v>172</v>
      </c>
      <c r="D228" s="1">
        <v>46213</v>
      </c>
      <c r="E228" s="3" t="s">
        <v>183</v>
      </c>
      <c r="F228" s="3" t="s">
        <v>174</v>
      </c>
      <c r="G228" s="4" t="s">
        <v>175</v>
      </c>
      <c r="H228" s="4" t="s">
        <v>176</v>
      </c>
      <c r="I228" s="5" t="s">
        <v>205</v>
      </c>
      <c r="J228" s="5" t="s">
        <v>313</v>
      </c>
      <c r="K228" s="6">
        <v>1.5</v>
      </c>
      <c r="L228" s="5" t="s">
        <v>303</v>
      </c>
    </row>
    <row r="229" spans="1:12">
      <c r="A229" s="3" t="s">
        <v>149</v>
      </c>
      <c r="B229" s="3" t="s">
        <v>150</v>
      </c>
      <c r="C229" s="3" t="s">
        <v>172</v>
      </c>
      <c r="D229" s="1">
        <v>46214</v>
      </c>
      <c r="E229" s="3" t="s">
        <v>187</v>
      </c>
      <c r="F229" s="3" t="s">
        <v>174</v>
      </c>
      <c r="G229" s="4" t="s">
        <v>175</v>
      </c>
      <c r="H229" s="4" t="s">
        <v>176</v>
      </c>
      <c r="I229" s="5" t="s">
        <v>190</v>
      </c>
      <c r="J229" s="5" t="s">
        <v>302</v>
      </c>
      <c r="K229" s="6">
        <v>1.5</v>
      </c>
      <c r="L229" s="5" t="s">
        <v>324</v>
      </c>
    </row>
    <row r="230" spans="1:12">
      <c r="A230" s="3" t="s">
        <v>149</v>
      </c>
      <c r="B230" s="3" t="s">
        <v>150</v>
      </c>
      <c r="C230" s="3" t="s">
        <v>172</v>
      </c>
      <c r="D230" s="1">
        <v>46215</v>
      </c>
      <c r="E230" s="3" t="s">
        <v>191</v>
      </c>
      <c r="F230" s="3" t="s">
        <v>192</v>
      </c>
      <c r="G230" s="4" t="s">
        <v>175</v>
      </c>
      <c r="H230" s="4" t="s">
        <v>176</v>
      </c>
      <c r="I230" s="5"/>
      <c r="J230" s="5"/>
      <c r="K230" s="6"/>
      <c r="L230" s="5"/>
    </row>
    <row r="231" spans="1:12">
      <c r="A231" s="3" t="s">
        <v>149</v>
      </c>
      <c r="B231" s="3" t="s">
        <v>150</v>
      </c>
      <c r="C231" s="3" t="s">
        <v>172</v>
      </c>
      <c r="D231" s="1">
        <v>46216</v>
      </c>
      <c r="E231" s="3" t="s">
        <v>193</v>
      </c>
      <c r="F231" s="3" t="s">
        <v>174</v>
      </c>
      <c r="G231" s="4" t="s">
        <v>175</v>
      </c>
      <c r="H231" s="4" t="s">
        <v>176</v>
      </c>
      <c r="I231" s="5" t="s">
        <v>177</v>
      </c>
      <c r="J231" s="5" t="s">
        <v>221</v>
      </c>
      <c r="K231" s="6">
        <v>0</v>
      </c>
      <c r="L231" s="5" t="s">
        <v>280</v>
      </c>
    </row>
    <row r="232" spans="1:12">
      <c r="A232" s="3" t="s">
        <v>149</v>
      </c>
      <c r="B232" s="3" t="s">
        <v>150</v>
      </c>
      <c r="C232" s="3" t="s">
        <v>172</v>
      </c>
      <c r="D232" s="1">
        <v>46217</v>
      </c>
      <c r="E232" s="3" t="s">
        <v>197</v>
      </c>
      <c r="F232" s="3" t="s">
        <v>174</v>
      </c>
      <c r="G232" s="4" t="s">
        <v>175</v>
      </c>
      <c r="H232" s="4" t="s">
        <v>176</v>
      </c>
      <c r="I232" s="5" t="s">
        <v>234</v>
      </c>
      <c r="J232" s="5" t="s">
        <v>259</v>
      </c>
      <c r="K232" s="6">
        <v>1.5</v>
      </c>
      <c r="L232" s="5" t="s">
        <v>285</v>
      </c>
    </row>
    <row r="233" spans="1:12">
      <c r="A233" s="3" t="s">
        <v>149</v>
      </c>
      <c r="B233" s="3" t="s">
        <v>150</v>
      </c>
      <c r="C233" s="3" t="s">
        <v>172</v>
      </c>
      <c r="D233" s="1">
        <v>46218</v>
      </c>
      <c r="E233" s="3" t="s">
        <v>173</v>
      </c>
      <c r="F233" s="3" t="s">
        <v>174</v>
      </c>
      <c r="G233" s="4" t="s">
        <v>175</v>
      </c>
      <c r="H233" s="4" t="s">
        <v>176</v>
      </c>
      <c r="I233" s="5" t="s">
        <v>190</v>
      </c>
      <c r="J233" s="5" t="s">
        <v>214</v>
      </c>
      <c r="K233" s="6">
        <v>0</v>
      </c>
      <c r="L233" s="5" t="s">
        <v>267</v>
      </c>
    </row>
    <row r="234" spans="1:12">
      <c r="A234" s="3" t="s">
        <v>149</v>
      </c>
      <c r="B234" s="3" t="s">
        <v>150</v>
      </c>
      <c r="C234" s="3" t="s">
        <v>172</v>
      </c>
      <c r="D234" s="1">
        <v>46219</v>
      </c>
      <c r="E234" s="3" t="s">
        <v>180</v>
      </c>
      <c r="F234" s="3" t="s">
        <v>174</v>
      </c>
      <c r="G234" s="4" t="s">
        <v>175</v>
      </c>
      <c r="H234" s="4" t="s">
        <v>176</v>
      </c>
      <c r="I234" s="5" t="s">
        <v>205</v>
      </c>
      <c r="J234" s="5" t="s">
        <v>253</v>
      </c>
      <c r="K234" s="6">
        <v>0</v>
      </c>
      <c r="L234" s="5" t="s">
        <v>190</v>
      </c>
    </row>
    <row r="235" spans="1:12">
      <c r="A235" s="3" t="s">
        <v>149</v>
      </c>
      <c r="B235" s="3" t="s">
        <v>150</v>
      </c>
      <c r="C235" s="3" t="s">
        <v>172</v>
      </c>
      <c r="D235" s="1">
        <v>46220</v>
      </c>
      <c r="E235" s="3" t="s">
        <v>183</v>
      </c>
      <c r="F235" s="3" t="s">
        <v>174</v>
      </c>
      <c r="G235" s="4" t="s">
        <v>175</v>
      </c>
      <c r="H235" s="4" t="s">
        <v>176</v>
      </c>
      <c r="I235" s="5" t="s">
        <v>205</v>
      </c>
      <c r="J235" s="5" t="s">
        <v>305</v>
      </c>
      <c r="K235" s="6">
        <v>1.5</v>
      </c>
      <c r="L235" s="5" t="s">
        <v>262</v>
      </c>
    </row>
    <row r="236" spans="1:12">
      <c r="A236" s="3" t="s">
        <v>149</v>
      </c>
      <c r="B236" s="3" t="s">
        <v>150</v>
      </c>
      <c r="C236" s="3" t="s">
        <v>172</v>
      </c>
      <c r="D236" s="1">
        <v>46221</v>
      </c>
      <c r="E236" s="3" t="s">
        <v>187</v>
      </c>
      <c r="F236" s="3" t="s">
        <v>174</v>
      </c>
      <c r="G236" s="4" t="s">
        <v>175</v>
      </c>
      <c r="H236" s="4" t="s">
        <v>176</v>
      </c>
      <c r="I236" s="5" t="s">
        <v>198</v>
      </c>
      <c r="J236" s="5" t="s">
        <v>254</v>
      </c>
      <c r="K236" s="6">
        <v>0</v>
      </c>
      <c r="L236" s="5" t="s">
        <v>274</v>
      </c>
    </row>
    <row r="237" spans="1:12">
      <c r="A237" s="3" t="s">
        <v>149</v>
      </c>
      <c r="B237" s="3" t="s">
        <v>150</v>
      </c>
      <c r="C237" s="3" t="s">
        <v>172</v>
      </c>
      <c r="D237" s="1">
        <v>46222</v>
      </c>
      <c r="E237" s="3" t="s">
        <v>191</v>
      </c>
      <c r="F237" s="3" t="s">
        <v>192</v>
      </c>
      <c r="G237" s="4" t="s">
        <v>175</v>
      </c>
      <c r="H237" s="4" t="s">
        <v>176</v>
      </c>
      <c r="I237" s="5"/>
      <c r="J237" s="5"/>
      <c r="K237" s="6"/>
      <c r="L237" s="5"/>
    </row>
    <row r="238" spans="1:12">
      <c r="A238" s="3" t="s">
        <v>149</v>
      </c>
      <c r="B238" s="3" t="s">
        <v>150</v>
      </c>
      <c r="C238" s="3" t="s">
        <v>172</v>
      </c>
      <c r="D238" s="1">
        <v>46223</v>
      </c>
      <c r="E238" s="3" t="s">
        <v>193</v>
      </c>
      <c r="F238" s="3" t="s">
        <v>174</v>
      </c>
      <c r="G238" s="4" t="s">
        <v>175</v>
      </c>
      <c r="H238" s="4" t="s">
        <v>176</v>
      </c>
      <c r="I238" s="5" t="s">
        <v>202</v>
      </c>
      <c r="J238" s="5" t="s">
        <v>189</v>
      </c>
      <c r="K238" s="6">
        <v>0</v>
      </c>
      <c r="L238" s="5" t="s">
        <v>202</v>
      </c>
    </row>
    <row r="239" spans="1:12">
      <c r="A239" s="3" t="s">
        <v>149</v>
      </c>
      <c r="B239" s="3" t="s">
        <v>150</v>
      </c>
      <c r="C239" s="3" t="s">
        <v>172</v>
      </c>
      <c r="D239" s="1">
        <v>46224</v>
      </c>
      <c r="E239" s="3" t="s">
        <v>197</v>
      </c>
      <c r="F239" s="3" t="s">
        <v>174</v>
      </c>
      <c r="G239" s="4" t="s">
        <v>175</v>
      </c>
      <c r="H239" s="4" t="s">
        <v>176</v>
      </c>
      <c r="I239" s="5" t="s">
        <v>219</v>
      </c>
      <c r="J239" s="5" t="s">
        <v>325</v>
      </c>
      <c r="K239" s="6">
        <v>1</v>
      </c>
      <c r="L239" s="5" t="s">
        <v>326</v>
      </c>
    </row>
    <row r="240" spans="1:12">
      <c r="A240" s="3" t="s">
        <v>149</v>
      </c>
      <c r="B240" s="3" t="s">
        <v>150</v>
      </c>
      <c r="C240" s="3" t="s">
        <v>172</v>
      </c>
      <c r="D240" s="1">
        <v>46225</v>
      </c>
      <c r="E240" s="3" t="s">
        <v>173</v>
      </c>
      <c r="F240" s="3" t="s">
        <v>174</v>
      </c>
      <c r="G240" s="4" t="s">
        <v>175</v>
      </c>
      <c r="H240" s="4" t="s">
        <v>176</v>
      </c>
      <c r="I240" s="5" t="s">
        <v>211</v>
      </c>
      <c r="J240" s="5" t="s">
        <v>307</v>
      </c>
      <c r="K240" s="6">
        <v>1.5</v>
      </c>
      <c r="L240" s="5" t="s">
        <v>316</v>
      </c>
    </row>
    <row r="241" spans="1:12">
      <c r="A241" s="3" t="s">
        <v>149</v>
      </c>
      <c r="B241" s="3" t="s">
        <v>150</v>
      </c>
      <c r="C241" s="3" t="s">
        <v>172</v>
      </c>
      <c r="D241" s="1">
        <v>46226</v>
      </c>
      <c r="E241" s="3" t="s">
        <v>180</v>
      </c>
      <c r="F241" s="3" t="s">
        <v>174</v>
      </c>
      <c r="G241" s="4" t="s">
        <v>175</v>
      </c>
      <c r="H241" s="4" t="s">
        <v>176</v>
      </c>
      <c r="I241" s="5" t="s">
        <v>202</v>
      </c>
      <c r="J241" s="5" t="s">
        <v>327</v>
      </c>
      <c r="K241" s="6">
        <v>1.5</v>
      </c>
      <c r="L241" s="5" t="s">
        <v>290</v>
      </c>
    </row>
    <row r="242" spans="1:12">
      <c r="A242" s="3" t="s">
        <v>149</v>
      </c>
      <c r="B242" s="3" t="s">
        <v>150</v>
      </c>
      <c r="C242" s="3" t="s">
        <v>172</v>
      </c>
      <c r="D242" s="1">
        <v>46227</v>
      </c>
      <c r="E242" s="3" t="s">
        <v>183</v>
      </c>
      <c r="F242" s="3" t="s">
        <v>174</v>
      </c>
      <c r="G242" s="4" t="s">
        <v>175</v>
      </c>
      <c r="H242" s="4" t="s">
        <v>176</v>
      </c>
      <c r="I242" s="5" t="s">
        <v>219</v>
      </c>
      <c r="J242" s="5" t="s">
        <v>226</v>
      </c>
      <c r="K242" s="6">
        <v>1.5</v>
      </c>
      <c r="L242" s="5" t="s">
        <v>303</v>
      </c>
    </row>
    <row r="243" spans="1:12">
      <c r="A243" s="3" t="s">
        <v>149</v>
      </c>
      <c r="B243" s="3" t="s">
        <v>150</v>
      </c>
      <c r="C243" s="3" t="s">
        <v>172</v>
      </c>
      <c r="D243" s="1">
        <v>46228</v>
      </c>
      <c r="E243" s="3" t="s">
        <v>187</v>
      </c>
      <c r="F243" s="3" t="s">
        <v>174</v>
      </c>
      <c r="G243" s="4" t="s">
        <v>175</v>
      </c>
      <c r="H243" s="4" t="s">
        <v>176</v>
      </c>
      <c r="I243" s="5" t="s">
        <v>188</v>
      </c>
      <c r="J243" s="5" t="s">
        <v>250</v>
      </c>
      <c r="K243" s="6">
        <v>1.5</v>
      </c>
      <c r="L243" s="5" t="s">
        <v>260</v>
      </c>
    </row>
    <row r="244" spans="1:12">
      <c r="A244" s="3" t="s">
        <v>149</v>
      </c>
      <c r="B244" s="3" t="s">
        <v>150</v>
      </c>
      <c r="C244" s="3" t="s">
        <v>172</v>
      </c>
      <c r="D244" s="1">
        <v>46229</v>
      </c>
      <c r="E244" s="3" t="s">
        <v>191</v>
      </c>
      <c r="F244" s="3" t="s">
        <v>192</v>
      </c>
      <c r="G244" s="4" t="s">
        <v>175</v>
      </c>
      <c r="H244" s="4" t="s">
        <v>176</v>
      </c>
      <c r="I244" s="5"/>
      <c r="J244" s="5"/>
      <c r="K244" s="6"/>
      <c r="L244" s="5"/>
    </row>
    <row r="245" spans="1:12">
      <c r="A245" s="3" t="s">
        <v>149</v>
      </c>
      <c r="B245" s="3" t="s">
        <v>150</v>
      </c>
      <c r="C245" s="3" t="s">
        <v>172</v>
      </c>
      <c r="D245" s="1">
        <v>46230</v>
      </c>
      <c r="E245" s="3" t="s">
        <v>193</v>
      </c>
      <c r="F245" s="3" t="s">
        <v>174</v>
      </c>
      <c r="G245" s="4" t="s">
        <v>175</v>
      </c>
      <c r="H245" s="4" t="s">
        <v>176</v>
      </c>
      <c r="I245" s="5" t="s">
        <v>184</v>
      </c>
      <c r="J245" s="5" t="s">
        <v>241</v>
      </c>
      <c r="K245" s="6">
        <v>1.5</v>
      </c>
      <c r="L245" s="5" t="s">
        <v>256</v>
      </c>
    </row>
    <row r="246" spans="1:12">
      <c r="A246" s="3" t="s">
        <v>149</v>
      </c>
      <c r="B246" s="3" t="s">
        <v>150</v>
      </c>
      <c r="C246" s="3" t="s">
        <v>172</v>
      </c>
      <c r="D246" s="1">
        <v>46231</v>
      </c>
      <c r="E246" s="3" t="s">
        <v>197</v>
      </c>
      <c r="F246" s="3" t="s">
        <v>174</v>
      </c>
      <c r="G246" s="4" t="s">
        <v>175</v>
      </c>
      <c r="H246" s="4" t="s">
        <v>176</v>
      </c>
      <c r="I246" s="5" t="s">
        <v>188</v>
      </c>
      <c r="J246" s="5" t="s">
        <v>328</v>
      </c>
      <c r="K246" s="6">
        <v>1</v>
      </c>
      <c r="L246" s="5" t="s">
        <v>329</v>
      </c>
    </row>
    <row r="247" spans="1:12">
      <c r="A247" s="3" t="s">
        <v>149</v>
      </c>
      <c r="B247" s="3" t="s">
        <v>150</v>
      </c>
      <c r="C247" s="3" t="s">
        <v>172</v>
      </c>
      <c r="D247" s="1">
        <v>46232</v>
      </c>
      <c r="E247" s="3" t="s">
        <v>173</v>
      </c>
      <c r="F247" s="3" t="s">
        <v>174</v>
      </c>
      <c r="G247" s="4" t="s">
        <v>175</v>
      </c>
      <c r="H247" s="4" t="s">
        <v>176</v>
      </c>
      <c r="I247" s="5" t="s">
        <v>202</v>
      </c>
      <c r="J247" s="5" t="s">
        <v>296</v>
      </c>
      <c r="K247" s="6">
        <v>1.5</v>
      </c>
      <c r="L247" s="5" t="s">
        <v>315</v>
      </c>
    </row>
    <row r="248" spans="1:12">
      <c r="A248" s="3" t="s">
        <v>149</v>
      </c>
      <c r="B248" s="3" t="s">
        <v>150</v>
      </c>
      <c r="C248" s="3" t="s">
        <v>172</v>
      </c>
      <c r="D248" s="1">
        <v>46233</v>
      </c>
      <c r="E248" s="3" t="s">
        <v>180</v>
      </c>
      <c r="F248" s="3" t="s">
        <v>174</v>
      </c>
      <c r="G248" s="4" t="s">
        <v>175</v>
      </c>
      <c r="H248" s="4" t="s">
        <v>176</v>
      </c>
      <c r="I248" s="5" t="s">
        <v>202</v>
      </c>
      <c r="J248" s="5" t="s">
        <v>289</v>
      </c>
      <c r="K248" s="6">
        <v>1.5</v>
      </c>
      <c r="L248" s="5" t="s">
        <v>256</v>
      </c>
    </row>
    <row r="249" spans="1:12">
      <c r="A249" s="3" t="s">
        <v>149</v>
      </c>
      <c r="B249" s="3" t="s">
        <v>150</v>
      </c>
      <c r="C249" s="3" t="s">
        <v>172</v>
      </c>
      <c r="D249" s="1">
        <v>46234</v>
      </c>
      <c r="E249" s="3" t="s">
        <v>183</v>
      </c>
      <c r="F249" s="3" t="s">
        <v>174</v>
      </c>
      <c r="G249" s="4" t="s">
        <v>175</v>
      </c>
      <c r="H249" s="4" t="s">
        <v>176</v>
      </c>
      <c r="I249" s="5" t="s">
        <v>219</v>
      </c>
      <c r="J249" s="5" t="s">
        <v>330</v>
      </c>
      <c r="K249" s="6">
        <v>1.5</v>
      </c>
      <c r="L249" s="5" t="s">
        <v>318</v>
      </c>
    </row>
    <row r="250" spans="1:12">
      <c r="A250" s="3" t="s">
        <v>151</v>
      </c>
      <c r="B250" s="3" t="s">
        <v>331</v>
      </c>
      <c r="C250" s="3" t="s">
        <v>172</v>
      </c>
      <c r="D250" s="1">
        <v>46204</v>
      </c>
      <c r="E250" s="3" t="s">
        <v>173</v>
      </c>
      <c r="F250" s="3" t="s">
        <v>174</v>
      </c>
      <c r="G250" s="4" t="s">
        <v>175</v>
      </c>
      <c r="H250" s="4" t="s">
        <v>176</v>
      </c>
      <c r="I250" s="5" t="s">
        <v>194</v>
      </c>
      <c r="J250" s="5" t="s">
        <v>207</v>
      </c>
      <c r="K250" s="6">
        <v>0</v>
      </c>
      <c r="L250" s="5" t="s">
        <v>211</v>
      </c>
    </row>
    <row r="251" spans="1:12">
      <c r="A251" s="3" t="s">
        <v>151</v>
      </c>
      <c r="B251" s="3" t="s">
        <v>331</v>
      </c>
      <c r="C251" s="3" t="s">
        <v>172</v>
      </c>
      <c r="D251" s="1">
        <v>46205</v>
      </c>
      <c r="E251" s="3" t="s">
        <v>180</v>
      </c>
      <c r="F251" s="3" t="s">
        <v>174</v>
      </c>
      <c r="G251" s="4" t="s">
        <v>175</v>
      </c>
      <c r="H251" s="4" t="s">
        <v>176</v>
      </c>
      <c r="I251" s="5" t="s">
        <v>211</v>
      </c>
      <c r="J251" s="5" t="s">
        <v>265</v>
      </c>
      <c r="K251" s="6">
        <v>0</v>
      </c>
      <c r="L251" s="5" t="s">
        <v>300</v>
      </c>
    </row>
    <row r="252" spans="1:12">
      <c r="A252" s="3" t="s">
        <v>151</v>
      </c>
      <c r="B252" s="3" t="s">
        <v>331</v>
      </c>
      <c r="C252" s="3" t="s">
        <v>172</v>
      </c>
      <c r="D252" s="1">
        <v>46206</v>
      </c>
      <c r="E252" s="3" t="s">
        <v>183</v>
      </c>
      <c r="F252" s="3" t="s">
        <v>174</v>
      </c>
      <c r="G252" s="4" t="s">
        <v>175</v>
      </c>
      <c r="H252" s="4" t="s">
        <v>176</v>
      </c>
      <c r="I252" s="5" t="s">
        <v>234</v>
      </c>
      <c r="J252" s="5" t="s">
        <v>223</v>
      </c>
      <c r="K252" s="6">
        <v>0</v>
      </c>
      <c r="L252" s="5" t="s">
        <v>177</v>
      </c>
    </row>
    <row r="253" spans="1:12">
      <c r="A253" s="3" t="s">
        <v>151</v>
      </c>
      <c r="B253" s="3" t="s">
        <v>331</v>
      </c>
      <c r="C253" s="3" t="s">
        <v>172</v>
      </c>
      <c r="D253" s="1">
        <v>46207</v>
      </c>
      <c r="E253" s="3" t="s">
        <v>187</v>
      </c>
      <c r="F253" s="3" t="s">
        <v>174</v>
      </c>
      <c r="G253" s="4" t="s">
        <v>175</v>
      </c>
      <c r="H253" s="4" t="s">
        <v>176</v>
      </c>
      <c r="I253" s="5" t="s">
        <v>202</v>
      </c>
      <c r="J253" s="5" t="s">
        <v>221</v>
      </c>
      <c r="K253" s="6">
        <v>0</v>
      </c>
      <c r="L253" s="5" t="s">
        <v>300</v>
      </c>
    </row>
    <row r="254" spans="1:12">
      <c r="A254" s="3" t="s">
        <v>151</v>
      </c>
      <c r="B254" s="3" t="s">
        <v>331</v>
      </c>
      <c r="C254" s="3" t="s">
        <v>172</v>
      </c>
      <c r="D254" s="1">
        <v>46208</v>
      </c>
      <c r="E254" s="3" t="s">
        <v>191</v>
      </c>
      <c r="F254" s="3" t="s">
        <v>192</v>
      </c>
      <c r="G254" s="4" t="s">
        <v>175</v>
      </c>
      <c r="H254" s="4" t="s">
        <v>176</v>
      </c>
      <c r="I254" s="5"/>
      <c r="J254" s="5"/>
      <c r="K254" s="6"/>
      <c r="L254" s="5"/>
    </row>
    <row r="255" spans="1:12">
      <c r="A255" s="3" t="s">
        <v>151</v>
      </c>
      <c r="B255" s="3" t="s">
        <v>331</v>
      </c>
      <c r="C255" s="3" t="s">
        <v>172</v>
      </c>
      <c r="D255" s="1">
        <v>46209</v>
      </c>
      <c r="E255" s="3" t="s">
        <v>193</v>
      </c>
      <c r="F255" s="3" t="s">
        <v>174</v>
      </c>
      <c r="G255" s="4" t="s">
        <v>175</v>
      </c>
      <c r="H255" s="4" t="s">
        <v>176</v>
      </c>
      <c r="I255" s="5" t="s">
        <v>208</v>
      </c>
      <c r="J255" s="5" t="s">
        <v>291</v>
      </c>
      <c r="K255" s="6">
        <v>1.5</v>
      </c>
      <c r="L255" s="5" t="s">
        <v>323</v>
      </c>
    </row>
    <row r="256" spans="1:12">
      <c r="A256" s="3" t="s">
        <v>151</v>
      </c>
      <c r="B256" s="3" t="s">
        <v>331</v>
      </c>
      <c r="C256" s="3" t="s">
        <v>172</v>
      </c>
      <c r="D256" s="1">
        <v>46210</v>
      </c>
      <c r="E256" s="3" t="s">
        <v>197</v>
      </c>
      <c r="F256" s="3" t="s">
        <v>174</v>
      </c>
      <c r="G256" s="4" t="s">
        <v>175</v>
      </c>
      <c r="H256" s="4" t="s">
        <v>176</v>
      </c>
      <c r="I256" s="5" t="s">
        <v>202</v>
      </c>
      <c r="J256" s="5" t="s">
        <v>242</v>
      </c>
      <c r="K256" s="6">
        <v>1.5</v>
      </c>
      <c r="L256" s="5" t="s">
        <v>247</v>
      </c>
    </row>
    <row r="257" spans="1:12">
      <c r="A257" s="3" t="s">
        <v>151</v>
      </c>
      <c r="B257" s="3" t="s">
        <v>331</v>
      </c>
      <c r="C257" s="3" t="s">
        <v>172</v>
      </c>
      <c r="D257" s="1">
        <v>46211</v>
      </c>
      <c r="E257" s="3" t="s">
        <v>173</v>
      </c>
      <c r="F257" s="3" t="s">
        <v>174</v>
      </c>
      <c r="G257" s="4" t="s">
        <v>175</v>
      </c>
      <c r="H257" s="4" t="s">
        <v>176</v>
      </c>
      <c r="I257" s="5" t="s">
        <v>194</v>
      </c>
      <c r="J257" s="5" t="s">
        <v>255</v>
      </c>
      <c r="K257" s="6">
        <v>1.5</v>
      </c>
      <c r="L257" s="5" t="s">
        <v>285</v>
      </c>
    </row>
    <row r="258" spans="1:12">
      <c r="A258" s="3" t="s">
        <v>151</v>
      </c>
      <c r="B258" s="3" t="s">
        <v>331</v>
      </c>
      <c r="C258" s="3" t="s">
        <v>172</v>
      </c>
      <c r="D258" s="1">
        <v>46212</v>
      </c>
      <c r="E258" s="3" t="s">
        <v>180</v>
      </c>
      <c r="F258" s="3" t="s">
        <v>174</v>
      </c>
      <c r="G258" s="4" t="s">
        <v>175</v>
      </c>
      <c r="H258" s="4" t="s">
        <v>176</v>
      </c>
      <c r="I258" s="5" t="s">
        <v>190</v>
      </c>
      <c r="J258" s="5" t="s">
        <v>276</v>
      </c>
      <c r="K258" s="6">
        <v>0</v>
      </c>
      <c r="L258" s="5" t="s">
        <v>280</v>
      </c>
    </row>
    <row r="259" spans="1:12">
      <c r="A259" s="3" t="s">
        <v>151</v>
      </c>
      <c r="B259" s="3" t="s">
        <v>331</v>
      </c>
      <c r="C259" s="3" t="s">
        <v>172</v>
      </c>
      <c r="D259" s="1">
        <v>46213</v>
      </c>
      <c r="E259" s="3" t="s">
        <v>183</v>
      </c>
      <c r="F259" s="3" t="s">
        <v>174</v>
      </c>
      <c r="G259" s="4" t="s">
        <v>175</v>
      </c>
      <c r="H259" s="4" t="s">
        <v>176</v>
      </c>
      <c r="I259" s="5" t="s">
        <v>219</v>
      </c>
      <c r="J259" s="5" t="s">
        <v>332</v>
      </c>
      <c r="K259" s="6">
        <v>1</v>
      </c>
      <c r="L259" s="5" t="s">
        <v>333</v>
      </c>
    </row>
    <row r="260" spans="1:12">
      <c r="A260" s="3" t="s">
        <v>151</v>
      </c>
      <c r="B260" s="3" t="s">
        <v>331</v>
      </c>
      <c r="C260" s="3" t="s">
        <v>172</v>
      </c>
      <c r="D260" s="1">
        <v>46214</v>
      </c>
      <c r="E260" s="3" t="s">
        <v>187</v>
      </c>
      <c r="F260" s="3" t="s">
        <v>174</v>
      </c>
      <c r="G260" s="4" t="s">
        <v>175</v>
      </c>
      <c r="H260" s="4" t="s">
        <v>176</v>
      </c>
      <c r="I260" s="5" t="s">
        <v>211</v>
      </c>
      <c r="J260" s="5" t="s">
        <v>223</v>
      </c>
      <c r="K260" s="6">
        <v>0</v>
      </c>
      <c r="L260" s="5" t="s">
        <v>211</v>
      </c>
    </row>
    <row r="261" spans="1:12">
      <c r="A261" s="3" t="s">
        <v>151</v>
      </c>
      <c r="B261" s="3" t="s">
        <v>331</v>
      </c>
      <c r="C261" s="3" t="s">
        <v>172</v>
      </c>
      <c r="D261" s="1">
        <v>46215</v>
      </c>
      <c r="E261" s="3" t="s">
        <v>191</v>
      </c>
      <c r="F261" s="3" t="s">
        <v>192</v>
      </c>
      <c r="G261" s="4" t="s">
        <v>175</v>
      </c>
      <c r="H261" s="4" t="s">
        <v>176</v>
      </c>
      <c r="I261" s="5"/>
      <c r="J261" s="5"/>
      <c r="K261" s="6"/>
      <c r="L261" s="5"/>
    </row>
    <row r="262" spans="1:12">
      <c r="A262" s="3" t="s">
        <v>151</v>
      </c>
      <c r="B262" s="3" t="s">
        <v>331</v>
      </c>
      <c r="C262" s="3" t="s">
        <v>172</v>
      </c>
      <c r="D262" s="1">
        <v>46216</v>
      </c>
      <c r="E262" s="3" t="s">
        <v>193</v>
      </c>
      <c r="F262" s="3" t="s">
        <v>174</v>
      </c>
      <c r="G262" s="4" t="s">
        <v>175</v>
      </c>
      <c r="H262" s="4" t="s">
        <v>176</v>
      </c>
      <c r="I262" s="5" t="s">
        <v>194</v>
      </c>
      <c r="J262" s="5" t="s">
        <v>254</v>
      </c>
      <c r="K262" s="6">
        <v>0</v>
      </c>
      <c r="L262" s="5" t="s">
        <v>212</v>
      </c>
    </row>
    <row r="263" spans="1:12">
      <c r="A263" s="3" t="s">
        <v>151</v>
      </c>
      <c r="B263" s="3" t="s">
        <v>331</v>
      </c>
      <c r="C263" s="3" t="s">
        <v>172</v>
      </c>
      <c r="D263" s="1">
        <v>46217</v>
      </c>
      <c r="E263" s="3" t="s">
        <v>197</v>
      </c>
      <c r="F263" s="3" t="s">
        <v>174</v>
      </c>
      <c r="G263" s="4" t="s">
        <v>175</v>
      </c>
      <c r="H263" s="4" t="s">
        <v>176</v>
      </c>
      <c r="I263" s="5" t="s">
        <v>209</v>
      </c>
      <c r="J263" s="5" t="s">
        <v>313</v>
      </c>
      <c r="K263" s="6">
        <v>1.5</v>
      </c>
      <c r="L263" s="5" t="s">
        <v>262</v>
      </c>
    </row>
    <row r="264" spans="1:12">
      <c r="A264" s="3" t="s">
        <v>151</v>
      </c>
      <c r="B264" s="3" t="s">
        <v>331</v>
      </c>
      <c r="C264" s="3" t="s">
        <v>172</v>
      </c>
      <c r="D264" s="1">
        <v>46218</v>
      </c>
      <c r="E264" s="3" t="s">
        <v>173</v>
      </c>
      <c r="F264" s="3" t="s">
        <v>174</v>
      </c>
      <c r="G264" s="4" t="s">
        <v>175</v>
      </c>
      <c r="H264" s="4" t="s">
        <v>176</v>
      </c>
      <c r="I264" s="5" t="s">
        <v>234</v>
      </c>
      <c r="J264" s="5" t="s">
        <v>306</v>
      </c>
      <c r="K264" s="6">
        <v>0</v>
      </c>
      <c r="L264" s="5" t="s">
        <v>234</v>
      </c>
    </row>
    <row r="265" spans="1:12">
      <c r="A265" s="3" t="s">
        <v>151</v>
      </c>
      <c r="B265" s="3" t="s">
        <v>331</v>
      </c>
      <c r="C265" s="3" t="s">
        <v>172</v>
      </c>
      <c r="D265" s="1">
        <v>46219</v>
      </c>
      <c r="E265" s="3" t="s">
        <v>180</v>
      </c>
      <c r="F265" s="3" t="s">
        <v>174</v>
      </c>
      <c r="G265" s="4" t="s">
        <v>175</v>
      </c>
      <c r="H265" s="4" t="s">
        <v>176</v>
      </c>
      <c r="I265" s="5" t="s">
        <v>184</v>
      </c>
      <c r="J265" s="5" t="s">
        <v>178</v>
      </c>
      <c r="K265" s="6">
        <v>0</v>
      </c>
      <c r="L265" s="5" t="s">
        <v>301</v>
      </c>
    </row>
    <row r="266" spans="1:12">
      <c r="A266" s="3" t="s">
        <v>151</v>
      </c>
      <c r="B266" s="3" t="s">
        <v>331</v>
      </c>
      <c r="C266" s="3" t="s">
        <v>172</v>
      </c>
      <c r="D266" s="1">
        <v>46220</v>
      </c>
      <c r="E266" s="3" t="s">
        <v>183</v>
      </c>
      <c r="F266" s="3" t="s">
        <v>174</v>
      </c>
      <c r="G266" s="4" t="s">
        <v>175</v>
      </c>
      <c r="H266" s="4" t="s">
        <v>176</v>
      </c>
      <c r="I266" s="5" t="s">
        <v>188</v>
      </c>
      <c r="J266" s="5" t="s">
        <v>264</v>
      </c>
      <c r="K266" s="6">
        <v>0</v>
      </c>
      <c r="L266" s="5" t="s">
        <v>177</v>
      </c>
    </row>
    <row r="267" spans="1:12">
      <c r="A267" s="3" t="s">
        <v>151</v>
      </c>
      <c r="B267" s="3" t="s">
        <v>331</v>
      </c>
      <c r="C267" s="3" t="s">
        <v>172</v>
      </c>
      <c r="D267" s="1">
        <v>46221</v>
      </c>
      <c r="E267" s="3" t="s">
        <v>187</v>
      </c>
      <c r="F267" s="3" t="s">
        <v>174</v>
      </c>
      <c r="G267" s="4" t="s">
        <v>175</v>
      </c>
      <c r="H267" s="4" t="s">
        <v>176</v>
      </c>
      <c r="I267" s="5" t="s">
        <v>234</v>
      </c>
      <c r="J267" s="5" t="s">
        <v>248</v>
      </c>
      <c r="K267" s="6">
        <v>1.5</v>
      </c>
      <c r="L267" s="5" t="s">
        <v>229</v>
      </c>
    </row>
    <row r="268" spans="1:12">
      <c r="A268" s="3" t="s">
        <v>151</v>
      </c>
      <c r="B268" s="3" t="s">
        <v>331</v>
      </c>
      <c r="C268" s="3" t="s">
        <v>172</v>
      </c>
      <c r="D268" s="1">
        <v>46222</v>
      </c>
      <c r="E268" s="3" t="s">
        <v>191</v>
      </c>
      <c r="F268" s="3" t="s">
        <v>192</v>
      </c>
      <c r="G268" s="4" t="s">
        <v>175</v>
      </c>
      <c r="H268" s="4" t="s">
        <v>176</v>
      </c>
      <c r="I268" s="5"/>
      <c r="J268" s="5"/>
      <c r="K268" s="6"/>
      <c r="L268" s="5"/>
    </row>
    <row r="269" spans="1:12">
      <c r="A269" s="3" t="s">
        <v>151</v>
      </c>
      <c r="B269" s="3" t="s">
        <v>331</v>
      </c>
      <c r="C269" s="3" t="s">
        <v>172</v>
      </c>
      <c r="D269" s="1">
        <v>46223</v>
      </c>
      <c r="E269" s="3" t="s">
        <v>193</v>
      </c>
      <c r="F269" s="3" t="s">
        <v>174</v>
      </c>
      <c r="G269" s="4" t="s">
        <v>175</v>
      </c>
      <c r="H269" s="4" t="s">
        <v>176</v>
      </c>
      <c r="I269" s="5" t="s">
        <v>190</v>
      </c>
      <c r="J269" s="5" t="s">
        <v>261</v>
      </c>
      <c r="K269" s="6">
        <v>1.5</v>
      </c>
      <c r="L269" s="5" t="s">
        <v>249</v>
      </c>
    </row>
    <row r="270" spans="1:12">
      <c r="A270" s="3" t="s">
        <v>151</v>
      </c>
      <c r="B270" s="3" t="s">
        <v>331</v>
      </c>
      <c r="C270" s="3" t="s">
        <v>172</v>
      </c>
      <c r="D270" s="1">
        <v>46224</v>
      </c>
      <c r="E270" s="3" t="s">
        <v>197</v>
      </c>
      <c r="F270" s="3" t="s">
        <v>174</v>
      </c>
      <c r="G270" s="4" t="s">
        <v>175</v>
      </c>
      <c r="H270" s="4" t="s">
        <v>176</v>
      </c>
      <c r="I270" s="5" t="s">
        <v>188</v>
      </c>
      <c r="J270" s="5" t="s">
        <v>241</v>
      </c>
      <c r="K270" s="6">
        <v>1.5</v>
      </c>
      <c r="L270" s="5" t="s">
        <v>315</v>
      </c>
    </row>
    <row r="271" spans="1:12">
      <c r="A271" s="3" t="s">
        <v>151</v>
      </c>
      <c r="B271" s="3" t="s">
        <v>331</v>
      </c>
      <c r="C271" s="3" t="s">
        <v>172</v>
      </c>
      <c r="D271" s="1">
        <v>46225</v>
      </c>
      <c r="E271" s="3" t="s">
        <v>173</v>
      </c>
      <c r="F271" s="3" t="s">
        <v>174</v>
      </c>
      <c r="G271" s="4" t="s">
        <v>175</v>
      </c>
      <c r="H271" s="4" t="s">
        <v>176</v>
      </c>
      <c r="I271" s="5" t="s">
        <v>219</v>
      </c>
      <c r="J271" s="5" t="s">
        <v>317</v>
      </c>
      <c r="K271" s="6">
        <v>1.5</v>
      </c>
      <c r="L271" s="5" t="s">
        <v>262</v>
      </c>
    </row>
    <row r="272" spans="1:12">
      <c r="A272" s="3" t="s">
        <v>151</v>
      </c>
      <c r="B272" s="3" t="s">
        <v>331</v>
      </c>
      <c r="C272" s="3" t="s">
        <v>172</v>
      </c>
      <c r="D272" s="1">
        <v>46226</v>
      </c>
      <c r="E272" s="3" t="s">
        <v>180</v>
      </c>
      <c r="F272" s="3" t="s">
        <v>174</v>
      </c>
      <c r="G272" s="4" t="s">
        <v>175</v>
      </c>
      <c r="H272" s="4" t="s">
        <v>176</v>
      </c>
      <c r="I272" s="5" t="s">
        <v>190</v>
      </c>
      <c r="J272" s="5" t="s">
        <v>199</v>
      </c>
      <c r="K272" s="6">
        <v>0</v>
      </c>
      <c r="L272" s="5" t="s">
        <v>274</v>
      </c>
    </row>
    <row r="273" spans="1:12">
      <c r="A273" s="3" t="s">
        <v>151</v>
      </c>
      <c r="B273" s="3" t="s">
        <v>331</v>
      </c>
      <c r="C273" s="3" t="s">
        <v>172</v>
      </c>
      <c r="D273" s="1">
        <v>46227</v>
      </c>
      <c r="E273" s="3" t="s">
        <v>183</v>
      </c>
      <c r="F273" s="3" t="s">
        <v>174</v>
      </c>
      <c r="G273" s="4" t="s">
        <v>175</v>
      </c>
      <c r="H273" s="4" t="s">
        <v>176</v>
      </c>
      <c r="I273" s="5" t="s">
        <v>219</v>
      </c>
      <c r="J273" s="5" t="s">
        <v>271</v>
      </c>
      <c r="K273" s="6">
        <v>0</v>
      </c>
      <c r="L273" s="5" t="s">
        <v>269</v>
      </c>
    </row>
    <row r="274" spans="1:12">
      <c r="A274" s="3" t="s">
        <v>151</v>
      </c>
      <c r="B274" s="3" t="s">
        <v>331</v>
      </c>
      <c r="C274" s="3" t="s">
        <v>172</v>
      </c>
      <c r="D274" s="1">
        <v>46228</v>
      </c>
      <c r="E274" s="3" t="s">
        <v>187</v>
      </c>
      <c r="F274" s="3" t="s">
        <v>174</v>
      </c>
      <c r="G274" s="4" t="s">
        <v>175</v>
      </c>
      <c r="H274" s="4" t="s">
        <v>176</v>
      </c>
      <c r="I274" s="5" t="s">
        <v>186</v>
      </c>
      <c r="J274" s="5" t="s">
        <v>244</v>
      </c>
      <c r="K274" s="6">
        <v>1.5</v>
      </c>
      <c r="L274" s="5" t="s">
        <v>283</v>
      </c>
    </row>
    <row r="275" spans="1:12">
      <c r="A275" s="3" t="s">
        <v>151</v>
      </c>
      <c r="B275" s="3" t="s">
        <v>331</v>
      </c>
      <c r="C275" s="3" t="s">
        <v>172</v>
      </c>
      <c r="D275" s="1">
        <v>46229</v>
      </c>
      <c r="E275" s="3" t="s">
        <v>191</v>
      </c>
      <c r="F275" s="3" t="s">
        <v>192</v>
      </c>
      <c r="G275" s="4" t="s">
        <v>175</v>
      </c>
      <c r="H275" s="4" t="s">
        <v>176</v>
      </c>
      <c r="I275" s="5"/>
      <c r="J275" s="5"/>
      <c r="K275" s="6"/>
      <c r="L275" s="5"/>
    </row>
    <row r="276" spans="1:12">
      <c r="A276" s="3" t="s">
        <v>151</v>
      </c>
      <c r="B276" s="3" t="s">
        <v>331</v>
      </c>
      <c r="C276" s="3" t="s">
        <v>172</v>
      </c>
      <c r="D276" s="1">
        <v>46230</v>
      </c>
      <c r="E276" s="3" t="s">
        <v>193</v>
      </c>
      <c r="F276" s="3" t="s">
        <v>174</v>
      </c>
      <c r="G276" s="4" t="s">
        <v>175</v>
      </c>
      <c r="H276" s="4" t="s">
        <v>176</v>
      </c>
      <c r="I276" s="5" t="s">
        <v>184</v>
      </c>
      <c r="J276" s="5" t="s">
        <v>273</v>
      </c>
      <c r="K276" s="6">
        <v>0</v>
      </c>
      <c r="L276" s="5" t="s">
        <v>200</v>
      </c>
    </row>
    <row r="277" spans="1:12">
      <c r="A277" s="3" t="s">
        <v>151</v>
      </c>
      <c r="B277" s="3" t="s">
        <v>331</v>
      </c>
      <c r="C277" s="3" t="s">
        <v>172</v>
      </c>
      <c r="D277" s="1">
        <v>46231</v>
      </c>
      <c r="E277" s="3" t="s">
        <v>197</v>
      </c>
      <c r="F277" s="3" t="s">
        <v>174</v>
      </c>
      <c r="G277" s="4" t="s">
        <v>175</v>
      </c>
      <c r="H277" s="4" t="s">
        <v>176</v>
      </c>
      <c r="I277" s="5" t="s">
        <v>269</v>
      </c>
      <c r="J277" s="5" t="s">
        <v>199</v>
      </c>
      <c r="K277" s="6">
        <v>0</v>
      </c>
      <c r="L277" s="5" t="s">
        <v>208</v>
      </c>
    </row>
    <row r="278" spans="1:12">
      <c r="A278" s="3" t="s">
        <v>151</v>
      </c>
      <c r="B278" s="3" t="s">
        <v>331</v>
      </c>
      <c r="C278" s="3" t="s">
        <v>172</v>
      </c>
      <c r="D278" s="1">
        <v>46232</v>
      </c>
      <c r="E278" s="3" t="s">
        <v>173</v>
      </c>
      <c r="F278" s="3" t="s">
        <v>174</v>
      </c>
      <c r="G278" s="4" t="s">
        <v>175</v>
      </c>
      <c r="H278" s="4" t="s">
        <v>176</v>
      </c>
      <c r="I278" s="5" t="s">
        <v>202</v>
      </c>
      <c r="J278" s="5" t="s">
        <v>265</v>
      </c>
      <c r="K278" s="6">
        <v>0</v>
      </c>
      <c r="L278" s="5" t="s">
        <v>280</v>
      </c>
    </row>
    <row r="279" spans="1:12">
      <c r="A279" s="3" t="s">
        <v>151</v>
      </c>
      <c r="B279" s="3" t="s">
        <v>331</v>
      </c>
      <c r="C279" s="3" t="s">
        <v>172</v>
      </c>
      <c r="D279" s="1">
        <v>46233</v>
      </c>
      <c r="E279" s="3" t="s">
        <v>180</v>
      </c>
      <c r="F279" s="3" t="s">
        <v>174</v>
      </c>
      <c r="G279" s="4" t="s">
        <v>175</v>
      </c>
      <c r="H279" s="4" t="s">
        <v>176</v>
      </c>
      <c r="I279" s="5" t="s">
        <v>188</v>
      </c>
      <c r="J279" s="5" t="s">
        <v>286</v>
      </c>
      <c r="K279" s="6">
        <v>1.5</v>
      </c>
      <c r="L279" s="5" t="s">
        <v>231</v>
      </c>
    </row>
    <row r="280" spans="1:12">
      <c r="A280" s="3" t="s">
        <v>151</v>
      </c>
      <c r="B280" s="3" t="s">
        <v>331</v>
      </c>
      <c r="C280" s="3" t="s">
        <v>172</v>
      </c>
      <c r="D280" s="1">
        <v>46234</v>
      </c>
      <c r="E280" s="3" t="s">
        <v>183</v>
      </c>
      <c r="F280" s="3" t="s">
        <v>174</v>
      </c>
      <c r="G280" s="4" t="s">
        <v>175</v>
      </c>
      <c r="H280" s="4" t="s">
        <v>176</v>
      </c>
      <c r="I280" s="5" t="s">
        <v>205</v>
      </c>
      <c r="J280" s="5" t="s">
        <v>273</v>
      </c>
      <c r="K280" s="6">
        <v>0</v>
      </c>
      <c r="L280" s="5" t="s">
        <v>212</v>
      </c>
    </row>
    <row r="281" spans="1:12">
      <c r="A281" s="3" t="s">
        <v>151</v>
      </c>
      <c r="B281" s="3" t="s">
        <v>153</v>
      </c>
      <c r="C281" s="3" t="s">
        <v>172</v>
      </c>
      <c r="D281" s="1">
        <v>46204</v>
      </c>
      <c r="E281" s="3" t="s">
        <v>173</v>
      </c>
      <c r="F281" s="3" t="s">
        <v>174</v>
      </c>
      <c r="G281" s="4" t="s">
        <v>175</v>
      </c>
      <c r="H281" s="4" t="s">
        <v>176</v>
      </c>
      <c r="I281" s="5" t="s">
        <v>177</v>
      </c>
      <c r="J281" s="5" t="s">
        <v>201</v>
      </c>
      <c r="K281" s="6">
        <v>0</v>
      </c>
      <c r="L281" s="5" t="s">
        <v>269</v>
      </c>
    </row>
    <row r="282" spans="1:12">
      <c r="A282" s="3" t="s">
        <v>151</v>
      </c>
      <c r="B282" s="3" t="s">
        <v>153</v>
      </c>
      <c r="C282" s="3" t="s">
        <v>172</v>
      </c>
      <c r="D282" s="1">
        <v>46205</v>
      </c>
      <c r="E282" s="3" t="s">
        <v>180</v>
      </c>
      <c r="F282" s="3" t="s">
        <v>174</v>
      </c>
      <c r="G282" s="4" t="s">
        <v>175</v>
      </c>
      <c r="H282" s="4" t="s">
        <v>176</v>
      </c>
      <c r="I282" s="5" t="s">
        <v>184</v>
      </c>
      <c r="J282" s="5" t="s">
        <v>273</v>
      </c>
      <c r="K282" s="6">
        <v>0</v>
      </c>
      <c r="L282" s="5" t="s">
        <v>200</v>
      </c>
    </row>
    <row r="283" spans="1:12">
      <c r="A283" s="3" t="s">
        <v>151</v>
      </c>
      <c r="B283" s="3" t="s">
        <v>153</v>
      </c>
      <c r="C283" s="3" t="s">
        <v>172</v>
      </c>
      <c r="D283" s="1">
        <v>46206</v>
      </c>
      <c r="E283" s="3" t="s">
        <v>183</v>
      </c>
      <c r="F283" s="3" t="s">
        <v>174</v>
      </c>
      <c r="G283" s="4" t="s">
        <v>175</v>
      </c>
      <c r="H283" s="4" t="s">
        <v>176</v>
      </c>
      <c r="I283" s="5" t="s">
        <v>208</v>
      </c>
      <c r="J283" s="5" t="s">
        <v>242</v>
      </c>
      <c r="K283" s="6">
        <v>1.5</v>
      </c>
      <c r="L283" s="5" t="s">
        <v>283</v>
      </c>
    </row>
    <row r="284" spans="1:12">
      <c r="A284" s="3" t="s">
        <v>151</v>
      </c>
      <c r="B284" s="3" t="s">
        <v>153</v>
      </c>
      <c r="C284" s="3" t="s">
        <v>172</v>
      </c>
      <c r="D284" s="1">
        <v>46207</v>
      </c>
      <c r="E284" s="3" t="s">
        <v>187</v>
      </c>
      <c r="F284" s="3" t="s">
        <v>174</v>
      </c>
      <c r="G284" s="4" t="s">
        <v>175</v>
      </c>
      <c r="H284" s="4" t="s">
        <v>176</v>
      </c>
      <c r="I284" s="5" t="s">
        <v>208</v>
      </c>
      <c r="J284" s="5" t="s">
        <v>199</v>
      </c>
      <c r="K284" s="6">
        <v>0</v>
      </c>
      <c r="L284" s="5" t="s">
        <v>269</v>
      </c>
    </row>
    <row r="285" spans="1:12">
      <c r="A285" s="3" t="s">
        <v>151</v>
      </c>
      <c r="B285" s="3" t="s">
        <v>153</v>
      </c>
      <c r="C285" s="3" t="s">
        <v>172</v>
      </c>
      <c r="D285" s="1">
        <v>46208</v>
      </c>
      <c r="E285" s="3" t="s">
        <v>191</v>
      </c>
      <c r="F285" s="3" t="s">
        <v>192</v>
      </c>
      <c r="G285" s="4" t="s">
        <v>175</v>
      </c>
      <c r="H285" s="4" t="s">
        <v>176</v>
      </c>
      <c r="I285" s="5"/>
      <c r="J285" s="5"/>
      <c r="K285" s="6"/>
      <c r="L285" s="5"/>
    </row>
    <row r="286" spans="1:12">
      <c r="A286" s="3" t="s">
        <v>151</v>
      </c>
      <c r="B286" s="3" t="s">
        <v>153</v>
      </c>
      <c r="C286" s="3" t="s">
        <v>172</v>
      </c>
      <c r="D286" s="1">
        <v>46209</v>
      </c>
      <c r="E286" s="3" t="s">
        <v>193</v>
      </c>
      <c r="F286" s="3" t="s">
        <v>174</v>
      </c>
      <c r="G286" s="4" t="s">
        <v>175</v>
      </c>
      <c r="H286" s="4" t="s">
        <v>176</v>
      </c>
      <c r="I286" s="5" t="s">
        <v>198</v>
      </c>
      <c r="J286" s="5" t="s">
        <v>253</v>
      </c>
      <c r="K286" s="6">
        <v>0</v>
      </c>
      <c r="L286" s="5" t="s">
        <v>184</v>
      </c>
    </row>
    <row r="287" spans="1:12">
      <c r="A287" s="3" t="s">
        <v>151</v>
      </c>
      <c r="B287" s="3" t="s">
        <v>153</v>
      </c>
      <c r="C287" s="3" t="s">
        <v>172</v>
      </c>
      <c r="D287" s="1">
        <v>46210</v>
      </c>
      <c r="E287" s="3" t="s">
        <v>197</v>
      </c>
      <c r="F287" s="3" t="s">
        <v>174</v>
      </c>
      <c r="G287" s="4" t="s">
        <v>175</v>
      </c>
      <c r="H287" s="4" t="s">
        <v>176</v>
      </c>
      <c r="I287" s="5" t="s">
        <v>198</v>
      </c>
      <c r="J287" s="5" t="s">
        <v>317</v>
      </c>
      <c r="K287" s="6">
        <v>1.5</v>
      </c>
      <c r="L287" s="5" t="s">
        <v>294</v>
      </c>
    </row>
    <row r="288" spans="1:12">
      <c r="A288" s="3" t="s">
        <v>151</v>
      </c>
      <c r="B288" s="3" t="s">
        <v>153</v>
      </c>
      <c r="C288" s="3" t="s">
        <v>172</v>
      </c>
      <c r="D288" s="1">
        <v>46211</v>
      </c>
      <c r="E288" s="3" t="s">
        <v>173</v>
      </c>
      <c r="F288" s="3" t="s">
        <v>174</v>
      </c>
      <c r="G288" s="4" t="s">
        <v>175</v>
      </c>
      <c r="H288" s="4" t="s">
        <v>176</v>
      </c>
      <c r="I288" s="5" t="s">
        <v>219</v>
      </c>
      <c r="J288" s="5" t="s">
        <v>224</v>
      </c>
      <c r="K288" s="6">
        <v>1</v>
      </c>
      <c r="L288" s="5" t="s">
        <v>334</v>
      </c>
    </row>
    <row r="289" spans="1:12">
      <c r="A289" s="3" t="s">
        <v>151</v>
      </c>
      <c r="B289" s="3" t="s">
        <v>153</v>
      </c>
      <c r="C289" s="3" t="s">
        <v>172</v>
      </c>
      <c r="D289" s="1">
        <v>46212</v>
      </c>
      <c r="E289" s="3" t="s">
        <v>180</v>
      </c>
      <c r="F289" s="3" t="s">
        <v>174</v>
      </c>
      <c r="G289" s="4" t="s">
        <v>175</v>
      </c>
      <c r="H289" s="4" t="s">
        <v>176</v>
      </c>
      <c r="I289" s="5" t="s">
        <v>188</v>
      </c>
      <c r="J289" s="5" t="s">
        <v>213</v>
      </c>
      <c r="K289" s="6">
        <v>0</v>
      </c>
      <c r="L289" s="5" t="s">
        <v>194</v>
      </c>
    </row>
    <row r="290" spans="1:12">
      <c r="A290" s="3" t="s">
        <v>151</v>
      </c>
      <c r="B290" s="3" t="s">
        <v>153</v>
      </c>
      <c r="C290" s="3" t="s">
        <v>172</v>
      </c>
      <c r="D290" s="1">
        <v>46213</v>
      </c>
      <c r="E290" s="3" t="s">
        <v>183</v>
      </c>
      <c r="F290" s="3" t="s">
        <v>174</v>
      </c>
      <c r="G290" s="4" t="s">
        <v>175</v>
      </c>
      <c r="H290" s="4" t="s">
        <v>176</v>
      </c>
      <c r="I290" s="5" t="s">
        <v>219</v>
      </c>
      <c r="J290" s="5" t="s">
        <v>178</v>
      </c>
      <c r="K290" s="6">
        <v>0</v>
      </c>
      <c r="L290" s="5" t="s">
        <v>200</v>
      </c>
    </row>
    <row r="291" spans="1:12">
      <c r="A291" s="3" t="s">
        <v>151</v>
      </c>
      <c r="B291" s="3" t="s">
        <v>153</v>
      </c>
      <c r="C291" s="3" t="s">
        <v>172</v>
      </c>
      <c r="D291" s="1">
        <v>46214</v>
      </c>
      <c r="E291" s="3" t="s">
        <v>187</v>
      </c>
      <c r="F291" s="3" t="s">
        <v>174</v>
      </c>
      <c r="G291" s="4" t="s">
        <v>175</v>
      </c>
      <c r="H291" s="4" t="s">
        <v>176</v>
      </c>
      <c r="I291" s="5" t="s">
        <v>219</v>
      </c>
      <c r="J291" s="5" t="s">
        <v>305</v>
      </c>
      <c r="K291" s="6">
        <v>1.5</v>
      </c>
      <c r="L291" s="5" t="s">
        <v>290</v>
      </c>
    </row>
    <row r="292" spans="1:12">
      <c r="A292" s="3" t="s">
        <v>151</v>
      </c>
      <c r="B292" s="3" t="s">
        <v>153</v>
      </c>
      <c r="C292" s="3" t="s">
        <v>172</v>
      </c>
      <c r="D292" s="1">
        <v>46215</v>
      </c>
      <c r="E292" s="3" t="s">
        <v>191</v>
      </c>
      <c r="F292" s="3" t="s">
        <v>192</v>
      </c>
      <c r="G292" s="4" t="s">
        <v>175</v>
      </c>
      <c r="H292" s="4" t="s">
        <v>176</v>
      </c>
      <c r="I292" s="5"/>
      <c r="J292" s="5"/>
      <c r="K292" s="6"/>
      <c r="L292" s="5"/>
    </row>
    <row r="293" spans="1:12">
      <c r="A293" s="3" t="s">
        <v>151</v>
      </c>
      <c r="B293" s="3" t="s">
        <v>153</v>
      </c>
      <c r="C293" s="3" t="s">
        <v>172</v>
      </c>
      <c r="D293" s="1">
        <v>46216</v>
      </c>
      <c r="E293" s="3" t="s">
        <v>193</v>
      </c>
      <c r="F293" s="3" t="s">
        <v>174</v>
      </c>
      <c r="G293" s="4" t="s">
        <v>175</v>
      </c>
      <c r="H293" s="4" t="s">
        <v>176</v>
      </c>
      <c r="I293" s="5" t="s">
        <v>186</v>
      </c>
      <c r="J293" s="5" t="s">
        <v>302</v>
      </c>
      <c r="K293" s="6">
        <v>1.5</v>
      </c>
      <c r="L293" s="5" t="s">
        <v>314</v>
      </c>
    </row>
    <row r="294" spans="1:12">
      <c r="A294" s="3" t="s">
        <v>151</v>
      </c>
      <c r="B294" s="3" t="s">
        <v>153</v>
      </c>
      <c r="C294" s="3" t="s">
        <v>172</v>
      </c>
      <c r="D294" s="1">
        <v>46217</v>
      </c>
      <c r="E294" s="3" t="s">
        <v>197</v>
      </c>
      <c r="F294" s="3" t="s">
        <v>174</v>
      </c>
      <c r="G294" s="4" t="s">
        <v>175</v>
      </c>
      <c r="H294" s="4" t="s">
        <v>176</v>
      </c>
      <c r="I294" s="5" t="s">
        <v>211</v>
      </c>
      <c r="J294" s="5" t="s">
        <v>248</v>
      </c>
      <c r="K294" s="6">
        <v>1.5</v>
      </c>
      <c r="L294" s="5" t="s">
        <v>285</v>
      </c>
    </row>
    <row r="295" spans="1:12">
      <c r="A295" s="3" t="s">
        <v>151</v>
      </c>
      <c r="B295" s="3" t="s">
        <v>153</v>
      </c>
      <c r="C295" s="3" t="s">
        <v>172</v>
      </c>
      <c r="D295" s="1">
        <v>46218</v>
      </c>
      <c r="E295" s="3" t="s">
        <v>173</v>
      </c>
      <c r="F295" s="3" t="s">
        <v>174</v>
      </c>
      <c r="G295" s="4" t="s">
        <v>175</v>
      </c>
      <c r="H295" s="4" t="s">
        <v>176</v>
      </c>
      <c r="I295" s="5" t="s">
        <v>188</v>
      </c>
      <c r="J295" s="5" t="s">
        <v>289</v>
      </c>
      <c r="K295" s="6">
        <v>1.5</v>
      </c>
      <c r="L295" s="5" t="s">
        <v>247</v>
      </c>
    </row>
    <row r="296" spans="1:12">
      <c r="A296" s="3" t="s">
        <v>151</v>
      </c>
      <c r="B296" s="3" t="s">
        <v>153</v>
      </c>
      <c r="C296" s="3" t="s">
        <v>172</v>
      </c>
      <c r="D296" s="1">
        <v>46219</v>
      </c>
      <c r="E296" s="3" t="s">
        <v>180</v>
      </c>
      <c r="F296" s="3" t="s">
        <v>174</v>
      </c>
      <c r="G296" s="4" t="s">
        <v>175</v>
      </c>
      <c r="H296" s="4" t="s">
        <v>176</v>
      </c>
      <c r="I296" s="5" t="s">
        <v>234</v>
      </c>
      <c r="J296" s="5" t="s">
        <v>335</v>
      </c>
      <c r="K296" s="6">
        <v>0</v>
      </c>
      <c r="L296" s="5" t="s">
        <v>267</v>
      </c>
    </row>
    <row r="297" spans="1:12">
      <c r="A297" s="3" t="s">
        <v>151</v>
      </c>
      <c r="B297" s="3" t="s">
        <v>153</v>
      </c>
      <c r="C297" s="3" t="s">
        <v>172</v>
      </c>
      <c r="D297" s="1">
        <v>46220</v>
      </c>
      <c r="E297" s="3" t="s">
        <v>183</v>
      </c>
      <c r="F297" s="3" t="s">
        <v>174</v>
      </c>
      <c r="G297" s="4" t="s">
        <v>175</v>
      </c>
      <c r="H297" s="4" t="s">
        <v>176</v>
      </c>
      <c r="I297" s="5" t="s">
        <v>208</v>
      </c>
      <c r="J297" s="5" t="s">
        <v>230</v>
      </c>
      <c r="K297" s="6">
        <v>1.5</v>
      </c>
      <c r="L297" s="5" t="s">
        <v>315</v>
      </c>
    </row>
    <row r="298" spans="1:12">
      <c r="A298" s="3" t="s">
        <v>151</v>
      </c>
      <c r="B298" s="3" t="s">
        <v>153</v>
      </c>
      <c r="C298" s="3" t="s">
        <v>172</v>
      </c>
      <c r="D298" s="1">
        <v>46221</v>
      </c>
      <c r="E298" s="3" t="s">
        <v>187</v>
      </c>
      <c r="F298" s="3" t="s">
        <v>174</v>
      </c>
      <c r="G298" s="4" t="s">
        <v>175</v>
      </c>
      <c r="H298" s="4" t="s">
        <v>176</v>
      </c>
      <c r="I298" s="5" t="s">
        <v>186</v>
      </c>
      <c r="J298" s="5" t="s">
        <v>185</v>
      </c>
      <c r="K298" s="6">
        <v>0</v>
      </c>
      <c r="L298" s="5" t="s">
        <v>184</v>
      </c>
    </row>
    <row r="299" spans="1:12">
      <c r="A299" s="3" t="s">
        <v>151</v>
      </c>
      <c r="B299" s="3" t="s">
        <v>153</v>
      </c>
      <c r="C299" s="3" t="s">
        <v>172</v>
      </c>
      <c r="D299" s="1">
        <v>46222</v>
      </c>
      <c r="E299" s="3" t="s">
        <v>191</v>
      </c>
      <c r="F299" s="3" t="s">
        <v>192</v>
      </c>
      <c r="G299" s="4" t="s">
        <v>175</v>
      </c>
      <c r="H299" s="4" t="s">
        <v>176</v>
      </c>
      <c r="I299" s="5"/>
      <c r="J299" s="5"/>
      <c r="K299" s="6"/>
      <c r="L299" s="5"/>
    </row>
    <row r="300" spans="1:12">
      <c r="A300" s="3" t="s">
        <v>151</v>
      </c>
      <c r="B300" s="3" t="s">
        <v>153</v>
      </c>
      <c r="C300" s="3" t="s">
        <v>172</v>
      </c>
      <c r="D300" s="1">
        <v>46223</v>
      </c>
      <c r="E300" s="3" t="s">
        <v>193</v>
      </c>
      <c r="F300" s="3" t="s">
        <v>174</v>
      </c>
      <c r="G300" s="4" t="s">
        <v>175</v>
      </c>
      <c r="H300" s="4" t="s">
        <v>176</v>
      </c>
      <c r="I300" s="5" t="s">
        <v>208</v>
      </c>
      <c r="J300" s="5" t="s">
        <v>270</v>
      </c>
      <c r="K300" s="6">
        <v>0</v>
      </c>
      <c r="L300" s="5" t="s">
        <v>222</v>
      </c>
    </row>
    <row r="301" spans="1:12">
      <c r="A301" s="3" t="s">
        <v>151</v>
      </c>
      <c r="B301" s="3" t="s">
        <v>153</v>
      </c>
      <c r="C301" s="3" t="s">
        <v>172</v>
      </c>
      <c r="D301" s="1">
        <v>46224</v>
      </c>
      <c r="E301" s="3" t="s">
        <v>197</v>
      </c>
      <c r="F301" s="3" t="s">
        <v>174</v>
      </c>
      <c r="G301" s="4" t="s">
        <v>175</v>
      </c>
      <c r="H301" s="4" t="s">
        <v>176</v>
      </c>
      <c r="I301" s="5" t="s">
        <v>190</v>
      </c>
      <c r="J301" s="5" t="s">
        <v>281</v>
      </c>
      <c r="K301" s="6">
        <v>0</v>
      </c>
      <c r="L301" s="5" t="s">
        <v>186</v>
      </c>
    </row>
    <row r="302" spans="1:12">
      <c r="A302" s="3" t="s">
        <v>151</v>
      </c>
      <c r="B302" s="3" t="s">
        <v>153</v>
      </c>
      <c r="C302" s="3" t="s">
        <v>172</v>
      </c>
      <c r="D302" s="1">
        <v>46225</v>
      </c>
      <c r="E302" s="3" t="s">
        <v>173</v>
      </c>
      <c r="F302" s="3" t="s">
        <v>174</v>
      </c>
      <c r="G302" s="4" t="s">
        <v>175</v>
      </c>
      <c r="H302" s="4" t="s">
        <v>176</v>
      </c>
      <c r="I302" s="5" t="s">
        <v>219</v>
      </c>
      <c r="J302" s="5" t="s">
        <v>218</v>
      </c>
      <c r="K302" s="6">
        <v>0</v>
      </c>
      <c r="L302" s="5" t="s">
        <v>211</v>
      </c>
    </row>
    <row r="303" spans="1:12">
      <c r="A303" s="3" t="s">
        <v>151</v>
      </c>
      <c r="B303" s="3" t="s">
        <v>153</v>
      </c>
      <c r="C303" s="3" t="s">
        <v>172</v>
      </c>
      <c r="D303" s="1">
        <v>46226</v>
      </c>
      <c r="E303" s="3" t="s">
        <v>180</v>
      </c>
      <c r="F303" s="3" t="s">
        <v>174</v>
      </c>
      <c r="G303" s="4" t="s">
        <v>175</v>
      </c>
      <c r="H303" s="4" t="s">
        <v>176</v>
      </c>
      <c r="I303" s="5" t="s">
        <v>202</v>
      </c>
      <c r="J303" s="5" t="s">
        <v>199</v>
      </c>
      <c r="K303" s="6">
        <v>0</v>
      </c>
      <c r="L303" s="5" t="s">
        <v>301</v>
      </c>
    </row>
    <row r="304" spans="1:12">
      <c r="A304" s="3" t="s">
        <v>151</v>
      </c>
      <c r="B304" s="3" t="s">
        <v>153</v>
      </c>
      <c r="C304" s="3" t="s">
        <v>172</v>
      </c>
      <c r="D304" s="1">
        <v>46227</v>
      </c>
      <c r="E304" s="3" t="s">
        <v>183</v>
      </c>
      <c r="F304" s="3" t="s">
        <v>174</v>
      </c>
      <c r="G304" s="4" t="s">
        <v>175</v>
      </c>
      <c r="H304" s="4" t="s">
        <v>176</v>
      </c>
      <c r="I304" s="5" t="s">
        <v>219</v>
      </c>
      <c r="J304" s="5" t="s">
        <v>336</v>
      </c>
      <c r="K304" s="6">
        <v>0</v>
      </c>
      <c r="L304" s="5" t="s">
        <v>203</v>
      </c>
    </row>
    <row r="305" spans="1:12">
      <c r="A305" s="3" t="s">
        <v>151</v>
      </c>
      <c r="B305" s="3" t="s">
        <v>153</v>
      </c>
      <c r="C305" s="3" t="s">
        <v>172</v>
      </c>
      <c r="D305" s="1">
        <v>46228</v>
      </c>
      <c r="E305" s="3" t="s">
        <v>187</v>
      </c>
      <c r="F305" s="3" t="s">
        <v>174</v>
      </c>
      <c r="G305" s="4" t="s">
        <v>175</v>
      </c>
      <c r="H305" s="4" t="s">
        <v>176</v>
      </c>
      <c r="I305" s="5" t="s">
        <v>211</v>
      </c>
      <c r="J305" s="5" t="s">
        <v>265</v>
      </c>
      <c r="K305" s="6">
        <v>0</v>
      </c>
      <c r="L305" s="5" t="s">
        <v>300</v>
      </c>
    </row>
    <row r="306" spans="1:12">
      <c r="A306" s="3" t="s">
        <v>151</v>
      </c>
      <c r="B306" s="3" t="s">
        <v>153</v>
      </c>
      <c r="C306" s="3" t="s">
        <v>172</v>
      </c>
      <c r="D306" s="1">
        <v>46229</v>
      </c>
      <c r="E306" s="3" t="s">
        <v>191</v>
      </c>
      <c r="F306" s="3" t="s">
        <v>192</v>
      </c>
      <c r="G306" s="4" t="s">
        <v>175</v>
      </c>
      <c r="H306" s="4" t="s">
        <v>176</v>
      </c>
      <c r="I306" s="5"/>
      <c r="J306" s="5"/>
      <c r="K306" s="6"/>
      <c r="L306" s="5"/>
    </row>
    <row r="307" spans="1:12">
      <c r="A307" s="3" t="s">
        <v>151</v>
      </c>
      <c r="B307" s="3" t="s">
        <v>153</v>
      </c>
      <c r="C307" s="3" t="s">
        <v>172</v>
      </c>
      <c r="D307" s="1">
        <v>46230</v>
      </c>
      <c r="E307" s="3" t="s">
        <v>193</v>
      </c>
      <c r="F307" s="3" t="s">
        <v>174</v>
      </c>
      <c r="G307" s="4" t="s">
        <v>175</v>
      </c>
      <c r="H307" s="4" t="s">
        <v>176</v>
      </c>
      <c r="I307" s="5" t="s">
        <v>209</v>
      </c>
      <c r="J307" s="5" t="s">
        <v>337</v>
      </c>
      <c r="K307" s="6">
        <v>1.5</v>
      </c>
      <c r="L307" s="5" t="s">
        <v>303</v>
      </c>
    </row>
    <row r="308" spans="1:12">
      <c r="A308" s="3" t="s">
        <v>151</v>
      </c>
      <c r="B308" s="3" t="s">
        <v>153</v>
      </c>
      <c r="C308" s="3" t="s">
        <v>172</v>
      </c>
      <c r="D308" s="1">
        <v>46231</v>
      </c>
      <c r="E308" s="3" t="s">
        <v>197</v>
      </c>
      <c r="F308" s="3" t="s">
        <v>174</v>
      </c>
      <c r="G308" s="4" t="s">
        <v>175</v>
      </c>
      <c r="H308" s="4" t="s">
        <v>176</v>
      </c>
      <c r="I308" s="5" t="s">
        <v>269</v>
      </c>
      <c r="J308" s="5" t="s">
        <v>319</v>
      </c>
      <c r="K308" s="6">
        <v>1.5</v>
      </c>
      <c r="L308" s="5" t="s">
        <v>245</v>
      </c>
    </row>
    <row r="309" spans="1:12">
      <c r="A309" s="3" t="s">
        <v>151</v>
      </c>
      <c r="B309" s="3" t="s">
        <v>153</v>
      </c>
      <c r="C309" s="3" t="s">
        <v>172</v>
      </c>
      <c r="D309" s="1">
        <v>46232</v>
      </c>
      <c r="E309" s="3" t="s">
        <v>173</v>
      </c>
      <c r="F309" s="3" t="s">
        <v>174</v>
      </c>
      <c r="G309" s="4" t="s">
        <v>175</v>
      </c>
      <c r="H309" s="4" t="s">
        <v>176</v>
      </c>
      <c r="I309" s="5" t="s">
        <v>205</v>
      </c>
      <c r="J309" s="5" t="s">
        <v>237</v>
      </c>
      <c r="K309" s="6">
        <v>1.5</v>
      </c>
      <c r="L309" s="5" t="s">
        <v>283</v>
      </c>
    </row>
    <row r="310" spans="1:12">
      <c r="A310" s="3" t="s">
        <v>151</v>
      </c>
      <c r="B310" s="3" t="s">
        <v>153</v>
      </c>
      <c r="C310" s="3" t="s">
        <v>172</v>
      </c>
      <c r="D310" s="1">
        <v>46233</v>
      </c>
      <c r="E310" s="3" t="s">
        <v>180</v>
      </c>
      <c r="F310" s="3" t="s">
        <v>174</v>
      </c>
      <c r="G310" s="4" t="s">
        <v>175</v>
      </c>
      <c r="H310" s="4" t="s">
        <v>176</v>
      </c>
      <c r="I310" s="5" t="s">
        <v>234</v>
      </c>
      <c r="J310" s="5" t="s">
        <v>306</v>
      </c>
      <c r="K310" s="6">
        <v>0</v>
      </c>
      <c r="L310" s="5" t="s">
        <v>234</v>
      </c>
    </row>
    <row r="311" spans="1:12">
      <c r="A311" s="3" t="s">
        <v>151</v>
      </c>
      <c r="B311" s="3" t="s">
        <v>153</v>
      </c>
      <c r="C311" s="3" t="s">
        <v>172</v>
      </c>
      <c r="D311" s="1">
        <v>46234</v>
      </c>
      <c r="E311" s="3" t="s">
        <v>183</v>
      </c>
      <c r="F311" s="3" t="s">
        <v>174</v>
      </c>
      <c r="G311" s="4" t="s">
        <v>175</v>
      </c>
      <c r="H311" s="4" t="s">
        <v>176</v>
      </c>
      <c r="I311" s="5" t="s">
        <v>202</v>
      </c>
      <c r="J311" s="5" t="s">
        <v>199</v>
      </c>
      <c r="K311" s="6">
        <v>0</v>
      </c>
      <c r="L311" s="5" t="s">
        <v>301</v>
      </c>
    </row>
    <row r="312" spans="1:12">
      <c r="A312" s="3" t="s">
        <v>154</v>
      </c>
      <c r="B312" s="3" t="s">
        <v>155</v>
      </c>
      <c r="C312" s="3" t="s">
        <v>172</v>
      </c>
      <c r="D312" s="1">
        <v>46204</v>
      </c>
      <c r="E312" s="3" t="s">
        <v>173</v>
      </c>
      <c r="F312" s="3" t="s">
        <v>174</v>
      </c>
      <c r="G312" s="4" t="s">
        <v>175</v>
      </c>
      <c r="H312" s="4" t="s">
        <v>176</v>
      </c>
      <c r="I312" s="5" t="s">
        <v>252</v>
      </c>
      <c r="J312" s="5" t="s">
        <v>281</v>
      </c>
      <c r="K312" s="6">
        <v>0</v>
      </c>
      <c r="L312" s="5" t="s">
        <v>194</v>
      </c>
    </row>
    <row r="313" spans="1:12">
      <c r="A313" s="3" t="s">
        <v>154</v>
      </c>
      <c r="B313" s="3" t="s">
        <v>155</v>
      </c>
      <c r="C313" s="3" t="s">
        <v>172</v>
      </c>
      <c r="D313" s="1">
        <v>46205</v>
      </c>
      <c r="E313" s="3" t="s">
        <v>180</v>
      </c>
      <c r="F313" s="3" t="s">
        <v>174</v>
      </c>
      <c r="G313" s="4" t="s">
        <v>175</v>
      </c>
      <c r="H313" s="4" t="s">
        <v>176</v>
      </c>
      <c r="I313" s="5" t="s">
        <v>194</v>
      </c>
      <c r="J313" s="5" t="s">
        <v>275</v>
      </c>
      <c r="K313" s="6">
        <v>0</v>
      </c>
      <c r="L313" s="5" t="s">
        <v>219</v>
      </c>
    </row>
    <row r="314" spans="1:12">
      <c r="A314" s="3" t="s">
        <v>154</v>
      </c>
      <c r="B314" s="3" t="s">
        <v>155</v>
      </c>
      <c r="C314" s="3" t="s">
        <v>172</v>
      </c>
      <c r="D314" s="1">
        <v>46206</v>
      </c>
      <c r="E314" s="3" t="s">
        <v>183</v>
      </c>
      <c r="F314" s="3" t="s">
        <v>174</v>
      </c>
      <c r="G314" s="4" t="s">
        <v>175</v>
      </c>
      <c r="H314" s="4" t="s">
        <v>176</v>
      </c>
      <c r="I314" s="5" t="s">
        <v>186</v>
      </c>
      <c r="J314" s="5" t="s">
        <v>288</v>
      </c>
      <c r="K314" s="6">
        <v>1.5</v>
      </c>
      <c r="L314" s="5" t="s">
        <v>229</v>
      </c>
    </row>
    <row r="315" spans="1:12">
      <c r="A315" s="3" t="s">
        <v>154</v>
      </c>
      <c r="B315" s="3" t="s">
        <v>155</v>
      </c>
      <c r="C315" s="3" t="s">
        <v>172</v>
      </c>
      <c r="D315" s="1">
        <v>46207</v>
      </c>
      <c r="E315" s="3" t="s">
        <v>187</v>
      </c>
      <c r="F315" s="3" t="s">
        <v>174</v>
      </c>
      <c r="G315" s="4" t="s">
        <v>175</v>
      </c>
      <c r="H315" s="4" t="s">
        <v>176</v>
      </c>
      <c r="I315" s="5" t="s">
        <v>208</v>
      </c>
      <c r="J315" s="5" t="s">
        <v>317</v>
      </c>
      <c r="K315" s="6">
        <v>1.5</v>
      </c>
      <c r="L315" s="5" t="s">
        <v>243</v>
      </c>
    </row>
    <row r="316" spans="1:12">
      <c r="A316" s="3" t="s">
        <v>154</v>
      </c>
      <c r="B316" s="3" t="s">
        <v>155</v>
      </c>
      <c r="C316" s="3" t="s">
        <v>172</v>
      </c>
      <c r="D316" s="1">
        <v>46208</v>
      </c>
      <c r="E316" s="3" t="s">
        <v>191</v>
      </c>
      <c r="F316" s="3" t="s">
        <v>192</v>
      </c>
      <c r="G316" s="4" t="s">
        <v>175</v>
      </c>
      <c r="H316" s="4" t="s">
        <v>176</v>
      </c>
      <c r="I316" s="5"/>
      <c r="J316" s="5"/>
      <c r="K316" s="6"/>
      <c r="L316" s="5"/>
    </row>
    <row r="317" spans="1:12">
      <c r="A317" s="3" t="s">
        <v>154</v>
      </c>
      <c r="B317" s="3" t="s">
        <v>155</v>
      </c>
      <c r="C317" s="3" t="s">
        <v>172</v>
      </c>
      <c r="D317" s="1">
        <v>46209</v>
      </c>
      <c r="E317" s="3" t="s">
        <v>193</v>
      </c>
      <c r="F317" s="3" t="s">
        <v>174</v>
      </c>
      <c r="G317" s="4" t="s">
        <v>175</v>
      </c>
      <c r="H317" s="4" t="s">
        <v>176</v>
      </c>
      <c r="I317" s="5" t="s">
        <v>219</v>
      </c>
      <c r="J317" s="5" t="s">
        <v>250</v>
      </c>
      <c r="K317" s="6">
        <v>1.5</v>
      </c>
      <c r="L317" s="5" t="s">
        <v>227</v>
      </c>
    </row>
    <row r="318" spans="1:12">
      <c r="A318" s="3" t="s">
        <v>154</v>
      </c>
      <c r="B318" s="3" t="s">
        <v>155</v>
      </c>
      <c r="C318" s="3" t="s">
        <v>172</v>
      </c>
      <c r="D318" s="1">
        <v>46210</v>
      </c>
      <c r="E318" s="3" t="s">
        <v>197</v>
      </c>
      <c r="F318" s="3" t="s">
        <v>174</v>
      </c>
      <c r="G318" s="4" t="s">
        <v>175</v>
      </c>
      <c r="H318" s="4" t="s">
        <v>176</v>
      </c>
      <c r="I318" s="5" t="s">
        <v>190</v>
      </c>
      <c r="J318" s="5" t="s">
        <v>206</v>
      </c>
      <c r="K318" s="6">
        <v>0</v>
      </c>
      <c r="L318" s="5" t="s">
        <v>234</v>
      </c>
    </row>
    <row r="319" spans="1:12">
      <c r="A319" s="3" t="s">
        <v>154</v>
      </c>
      <c r="B319" s="3" t="s">
        <v>155</v>
      </c>
      <c r="C319" s="3" t="s">
        <v>172</v>
      </c>
      <c r="D319" s="1">
        <v>46211</v>
      </c>
      <c r="E319" s="3" t="s">
        <v>173</v>
      </c>
      <c r="F319" s="3" t="s">
        <v>174</v>
      </c>
      <c r="G319" s="4" t="s">
        <v>175</v>
      </c>
      <c r="H319" s="4" t="s">
        <v>176</v>
      </c>
      <c r="I319" s="5" t="s">
        <v>188</v>
      </c>
      <c r="J319" s="5" t="s">
        <v>313</v>
      </c>
      <c r="K319" s="6">
        <v>1.5</v>
      </c>
      <c r="L319" s="5" t="s">
        <v>285</v>
      </c>
    </row>
    <row r="320" spans="1:12">
      <c r="A320" s="3" t="s">
        <v>154</v>
      </c>
      <c r="B320" s="3" t="s">
        <v>155</v>
      </c>
      <c r="C320" s="3" t="s">
        <v>172</v>
      </c>
      <c r="D320" s="1">
        <v>46212</v>
      </c>
      <c r="E320" s="3" t="s">
        <v>180</v>
      </c>
      <c r="F320" s="3" t="s">
        <v>174</v>
      </c>
      <c r="G320" s="4" t="s">
        <v>175</v>
      </c>
      <c r="H320" s="4" t="s">
        <v>176</v>
      </c>
      <c r="I320" s="5" t="s">
        <v>234</v>
      </c>
      <c r="J320" s="5" t="s">
        <v>284</v>
      </c>
      <c r="K320" s="6">
        <v>1.5</v>
      </c>
      <c r="L320" s="5" t="s">
        <v>314</v>
      </c>
    </row>
    <row r="321" spans="1:12">
      <c r="A321" s="3" t="s">
        <v>154</v>
      </c>
      <c r="B321" s="3" t="s">
        <v>155</v>
      </c>
      <c r="C321" s="3" t="s">
        <v>172</v>
      </c>
      <c r="D321" s="1">
        <v>46213</v>
      </c>
      <c r="E321" s="3" t="s">
        <v>183</v>
      </c>
      <c r="F321" s="3" t="s">
        <v>174</v>
      </c>
      <c r="G321" s="4" t="s">
        <v>175</v>
      </c>
      <c r="H321" s="4" t="s">
        <v>176</v>
      </c>
      <c r="I321" s="5" t="s">
        <v>252</v>
      </c>
      <c r="J321" s="5" t="s">
        <v>298</v>
      </c>
      <c r="K321" s="6">
        <v>1.5</v>
      </c>
      <c r="L321" s="5" t="s">
        <v>233</v>
      </c>
    </row>
    <row r="322" spans="1:12">
      <c r="A322" s="3" t="s">
        <v>154</v>
      </c>
      <c r="B322" s="3" t="s">
        <v>155</v>
      </c>
      <c r="C322" s="3" t="s">
        <v>172</v>
      </c>
      <c r="D322" s="1">
        <v>46214</v>
      </c>
      <c r="E322" s="3" t="s">
        <v>187</v>
      </c>
      <c r="F322" s="3" t="s">
        <v>174</v>
      </c>
      <c r="G322" s="4" t="s">
        <v>175</v>
      </c>
      <c r="H322" s="4" t="s">
        <v>176</v>
      </c>
      <c r="I322" s="5" t="s">
        <v>202</v>
      </c>
      <c r="J322" s="5" t="s">
        <v>189</v>
      </c>
      <c r="K322" s="6">
        <v>0</v>
      </c>
      <c r="L322" s="5" t="s">
        <v>202</v>
      </c>
    </row>
    <row r="323" spans="1:12">
      <c r="A323" s="3" t="s">
        <v>154</v>
      </c>
      <c r="B323" s="3" t="s">
        <v>155</v>
      </c>
      <c r="C323" s="3" t="s">
        <v>172</v>
      </c>
      <c r="D323" s="1">
        <v>46215</v>
      </c>
      <c r="E323" s="3" t="s">
        <v>191</v>
      </c>
      <c r="F323" s="3" t="s">
        <v>192</v>
      </c>
      <c r="G323" s="4" t="s">
        <v>175</v>
      </c>
      <c r="H323" s="4" t="s">
        <v>176</v>
      </c>
      <c r="I323" s="5"/>
      <c r="J323" s="5"/>
      <c r="K323" s="6"/>
      <c r="L323" s="5"/>
    </row>
    <row r="324" spans="1:12">
      <c r="A324" s="3" t="s">
        <v>154</v>
      </c>
      <c r="B324" s="3" t="s">
        <v>155</v>
      </c>
      <c r="C324" s="3" t="s">
        <v>172</v>
      </c>
      <c r="D324" s="1">
        <v>46216</v>
      </c>
      <c r="E324" s="3" t="s">
        <v>193</v>
      </c>
      <c r="F324" s="3" t="s">
        <v>174</v>
      </c>
      <c r="G324" s="4" t="s">
        <v>175</v>
      </c>
      <c r="H324" s="4" t="s">
        <v>176</v>
      </c>
      <c r="I324" s="5" t="s">
        <v>219</v>
      </c>
      <c r="J324" s="5" t="s">
        <v>291</v>
      </c>
      <c r="K324" s="6">
        <v>1.5</v>
      </c>
      <c r="L324" s="5" t="s">
        <v>247</v>
      </c>
    </row>
    <row r="325" spans="1:12">
      <c r="A325" s="3" t="s">
        <v>154</v>
      </c>
      <c r="B325" s="3" t="s">
        <v>155</v>
      </c>
      <c r="C325" s="3" t="s">
        <v>172</v>
      </c>
      <c r="D325" s="1">
        <v>46217</v>
      </c>
      <c r="E325" s="3" t="s">
        <v>197</v>
      </c>
      <c r="F325" s="3" t="s">
        <v>174</v>
      </c>
      <c r="G325" s="4" t="s">
        <v>175</v>
      </c>
      <c r="H325" s="4" t="s">
        <v>176</v>
      </c>
      <c r="I325" s="5" t="s">
        <v>194</v>
      </c>
      <c r="J325" s="5" t="s">
        <v>242</v>
      </c>
      <c r="K325" s="6">
        <v>1.5</v>
      </c>
      <c r="L325" s="5" t="s">
        <v>227</v>
      </c>
    </row>
    <row r="326" spans="1:12">
      <c r="A326" s="3" t="s">
        <v>154</v>
      </c>
      <c r="B326" s="3" t="s">
        <v>155</v>
      </c>
      <c r="C326" s="3" t="s">
        <v>172</v>
      </c>
      <c r="D326" s="1">
        <v>46218</v>
      </c>
      <c r="E326" s="3" t="s">
        <v>173</v>
      </c>
      <c r="F326" s="3" t="s">
        <v>174</v>
      </c>
      <c r="G326" s="4" t="s">
        <v>175</v>
      </c>
      <c r="H326" s="4" t="s">
        <v>176</v>
      </c>
      <c r="I326" s="5" t="s">
        <v>184</v>
      </c>
      <c r="J326" s="5" t="s">
        <v>327</v>
      </c>
      <c r="K326" s="6">
        <v>1.5</v>
      </c>
      <c r="L326" s="5" t="s">
        <v>238</v>
      </c>
    </row>
    <row r="327" spans="1:12">
      <c r="A327" s="3" t="s">
        <v>154</v>
      </c>
      <c r="B327" s="3" t="s">
        <v>155</v>
      </c>
      <c r="C327" s="3" t="s">
        <v>172</v>
      </c>
      <c r="D327" s="1">
        <v>46219</v>
      </c>
      <c r="E327" s="3" t="s">
        <v>180</v>
      </c>
      <c r="F327" s="3" t="s">
        <v>174</v>
      </c>
      <c r="G327" s="4" t="s">
        <v>175</v>
      </c>
      <c r="H327" s="4" t="s">
        <v>176</v>
      </c>
      <c r="I327" s="5" t="s">
        <v>188</v>
      </c>
      <c r="J327" s="5" t="s">
        <v>223</v>
      </c>
      <c r="K327" s="6">
        <v>0</v>
      </c>
      <c r="L327" s="5" t="s">
        <v>205</v>
      </c>
    </row>
    <row r="328" spans="1:12">
      <c r="A328" s="3" t="s">
        <v>154</v>
      </c>
      <c r="B328" s="3" t="s">
        <v>155</v>
      </c>
      <c r="C328" s="3" t="s">
        <v>172</v>
      </c>
      <c r="D328" s="1">
        <v>46220</v>
      </c>
      <c r="E328" s="3" t="s">
        <v>183</v>
      </c>
      <c r="F328" s="3" t="s">
        <v>174</v>
      </c>
      <c r="G328" s="4" t="s">
        <v>175</v>
      </c>
      <c r="H328" s="4" t="s">
        <v>176</v>
      </c>
      <c r="I328" s="5" t="s">
        <v>177</v>
      </c>
      <c r="J328" s="5" t="s">
        <v>278</v>
      </c>
      <c r="K328" s="6">
        <v>0</v>
      </c>
      <c r="L328" s="5" t="s">
        <v>186</v>
      </c>
    </row>
    <row r="329" spans="1:12">
      <c r="A329" s="3" t="s">
        <v>154</v>
      </c>
      <c r="B329" s="3" t="s">
        <v>155</v>
      </c>
      <c r="C329" s="3" t="s">
        <v>172</v>
      </c>
      <c r="D329" s="1">
        <v>46221</v>
      </c>
      <c r="E329" s="3" t="s">
        <v>187</v>
      </c>
      <c r="F329" s="3" t="s">
        <v>174</v>
      </c>
      <c r="G329" s="4" t="s">
        <v>175</v>
      </c>
      <c r="H329" s="4" t="s">
        <v>176</v>
      </c>
      <c r="I329" s="5" t="s">
        <v>219</v>
      </c>
      <c r="J329" s="5" t="s">
        <v>291</v>
      </c>
      <c r="K329" s="6">
        <v>1.5</v>
      </c>
      <c r="L329" s="5" t="s">
        <v>247</v>
      </c>
    </row>
    <row r="330" spans="1:12">
      <c r="A330" s="3" t="s">
        <v>154</v>
      </c>
      <c r="B330" s="3" t="s">
        <v>155</v>
      </c>
      <c r="C330" s="3" t="s">
        <v>172</v>
      </c>
      <c r="D330" s="1">
        <v>46222</v>
      </c>
      <c r="E330" s="3" t="s">
        <v>191</v>
      </c>
      <c r="F330" s="3" t="s">
        <v>192</v>
      </c>
      <c r="G330" s="4" t="s">
        <v>175</v>
      </c>
      <c r="H330" s="4" t="s">
        <v>176</v>
      </c>
      <c r="I330" s="5"/>
      <c r="J330" s="5"/>
      <c r="K330" s="6"/>
      <c r="L330" s="5"/>
    </row>
    <row r="331" spans="1:12">
      <c r="A331" s="3" t="s">
        <v>154</v>
      </c>
      <c r="B331" s="3" t="s">
        <v>155</v>
      </c>
      <c r="C331" s="3" t="s">
        <v>172</v>
      </c>
      <c r="D331" s="1">
        <v>46223</v>
      </c>
      <c r="E331" s="3" t="s">
        <v>193</v>
      </c>
      <c r="F331" s="3" t="s">
        <v>174</v>
      </c>
      <c r="G331" s="4" t="s">
        <v>175</v>
      </c>
      <c r="H331" s="4" t="s">
        <v>176</v>
      </c>
      <c r="I331" s="5" t="s">
        <v>198</v>
      </c>
      <c r="J331" s="5" t="s">
        <v>248</v>
      </c>
      <c r="K331" s="6">
        <v>1.5</v>
      </c>
      <c r="L331" s="5" t="s">
        <v>243</v>
      </c>
    </row>
    <row r="332" spans="1:12">
      <c r="A332" s="3" t="s">
        <v>154</v>
      </c>
      <c r="B332" s="3" t="s">
        <v>155</v>
      </c>
      <c r="C332" s="3" t="s">
        <v>172</v>
      </c>
      <c r="D332" s="1">
        <v>46224</v>
      </c>
      <c r="E332" s="3" t="s">
        <v>197</v>
      </c>
      <c r="F332" s="3" t="s">
        <v>174</v>
      </c>
      <c r="G332" s="4" t="s">
        <v>175</v>
      </c>
      <c r="H332" s="4" t="s">
        <v>176</v>
      </c>
      <c r="I332" s="5" t="s">
        <v>186</v>
      </c>
      <c r="J332" s="5" t="s">
        <v>264</v>
      </c>
      <c r="K332" s="6">
        <v>0</v>
      </c>
      <c r="L332" s="5" t="s">
        <v>186</v>
      </c>
    </row>
    <row r="333" spans="1:12">
      <c r="A333" s="3" t="s">
        <v>154</v>
      </c>
      <c r="B333" s="3" t="s">
        <v>155</v>
      </c>
      <c r="C333" s="3" t="s">
        <v>172</v>
      </c>
      <c r="D333" s="1">
        <v>46225</v>
      </c>
      <c r="E333" s="3" t="s">
        <v>173</v>
      </c>
      <c r="F333" s="3" t="s">
        <v>174</v>
      </c>
      <c r="G333" s="4" t="s">
        <v>175</v>
      </c>
      <c r="H333" s="4" t="s">
        <v>176</v>
      </c>
      <c r="I333" s="5" t="s">
        <v>202</v>
      </c>
      <c r="J333" s="5" t="s">
        <v>178</v>
      </c>
      <c r="K333" s="6">
        <v>0</v>
      </c>
      <c r="L333" s="5" t="s">
        <v>203</v>
      </c>
    </row>
    <row r="334" spans="1:12">
      <c r="A334" s="3" t="s">
        <v>154</v>
      </c>
      <c r="B334" s="3" t="s">
        <v>155</v>
      </c>
      <c r="C334" s="3" t="s">
        <v>172</v>
      </c>
      <c r="D334" s="1">
        <v>46226</v>
      </c>
      <c r="E334" s="3" t="s">
        <v>180</v>
      </c>
      <c r="F334" s="3" t="s">
        <v>174</v>
      </c>
      <c r="G334" s="4" t="s">
        <v>175</v>
      </c>
      <c r="H334" s="4" t="s">
        <v>176</v>
      </c>
      <c r="I334" s="5" t="s">
        <v>194</v>
      </c>
      <c r="J334" s="5" t="s">
        <v>216</v>
      </c>
      <c r="K334" s="6">
        <v>0</v>
      </c>
      <c r="L334" s="5" t="s">
        <v>200</v>
      </c>
    </row>
    <row r="335" spans="1:12">
      <c r="A335" s="3" t="s">
        <v>154</v>
      </c>
      <c r="B335" s="3" t="s">
        <v>155</v>
      </c>
      <c r="C335" s="3" t="s">
        <v>172</v>
      </c>
      <c r="D335" s="1">
        <v>46227</v>
      </c>
      <c r="E335" s="3" t="s">
        <v>183</v>
      </c>
      <c r="F335" s="3" t="s">
        <v>174</v>
      </c>
      <c r="G335" s="4" t="s">
        <v>175</v>
      </c>
      <c r="H335" s="4" t="s">
        <v>176</v>
      </c>
      <c r="I335" s="5" t="s">
        <v>211</v>
      </c>
      <c r="J335" s="5" t="s">
        <v>226</v>
      </c>
      <c r="K335" s="6">
        <v>1.5</v>
      </c>
      <c r="L335" s="5" t="s">
        <v>308</v>
      </c>
    </row>
    <row r="336" spans="1:12">
      <c r="A336" s="3" t="s">
        <v>154</v>
      </c>
      <c r="B336" s="3" t="s">
        <v>155</v>
      </c>
      <c r="C336" s="3" t="s">
        <v>172</v>
      </c>
      <c r="D336" s="1">
        <v>46228</v>
      </c>
      <c r="E336" s="3" t="s">
        <v>187</v>
      </c>
      <c r="F336" s="3" t="s">
        <v>174</v>
      </c>
      <c r="G336" s="4" t="s">
        <v>175</v>
      </c>
      <c r="H336" s="4" t="s">
        <v>176</v>
      </c>
      <c r="I336" s="5" t="s">
        <v>177</v>
      </c>
      <c r="J336" s="5" t="s">
        <v>213</v>
      </c>
      <c r="K336" s="6">
        <v>0</v>
      </c>
      <c r="L336" s="5" t="s">
        <v>184</v>
      </c>
    </row>
    <row r="337" spans="1:12">
      <c r="A337" s="3" t="s">
        <v>154</v>
      </c>
      <c r="B337" s="3" t="s">
        <v>155</v>
      </c>
      <c r="C337" s="3" t="s">
        <v>172</v>
      </c>
      <c r="D337" s="1">
        <v>46229</v>
      </c>
      <c r="E337" s="3" t="s">
        <v>191</v>
      </c>
      <c r="F337" s="3" t="s">
        <v>192</v>
      </c>
      <c r="G337" s="4" t="s">
        <v>175</v>
      </c>
      <c r="H337" s="4" t="s">
        <v>176</v>
      </c>
      <c r="I337" s="5"/>
      <c r="J337" s="5"/>
      <c r="K337" s="6"/>
      <c r="L337" s="5"/>
    </row>
    <row r="338" spans="1:12">
      <c r="A338" s="3" t="s">
        <v>154</v>
      </c>
      <c r="B338" s="3" t="s">
        <v>155</v>
      </c>
      <c r="C338" s="3" t="s">
        <v>172</v>
      </c>
      <c r="D338" s="1">
        <v>46230</v>
      </c>
      <c r="E338" s="3" t="s">
        <v>193</v>
      </c>
      <c r="F338" s="3" t="s">
        <v>174</v>
      </c>
      <c r="G338" s="4" t="s">
        <v>175</v>
      </c>
      <c r="H338" s="4" t="s">
        <v>176</v>
      </c>
      <c r="I338" s="5" t="s">
        <v>184</v>
      </c>
      <c r="J338" s="5" t="s">
        <v>338</v>
      </c>
      <c r="K338" s="6">
        <v>1.5</v>
      </c>
      <c r="L338" s="5" t="s">
        <v>231</v>
      </c>
    </row>
    <row r="339" spans="1:12">
      <c r="A339" s="3" t="s">
        <v>154</v>
      </c>
      <c r="B339" s="3" t="s">
        <v>155</v>
      </c>
      <c r="C339" s="3" t="s">
        <v>172</v>
      </c>
      <c r="D339" s="1">
        <v>46231</v>
      </c>
      <c r="E339" s="3" t="s">
        <v>197</v>
      </c>
      <c r="F339" s="3" t="s">
        <v>174</v>
      </c>
      <c r="G339" s="4" t="s">
        <v>175</v>
      </c>
      <c r="H339" s="4" t="s">
        <v>176</v>
      </c>
      <c r="I339" s="5" t="s">
        <v>198</v>
      </c>
      <c r="J339" s="5" t="s">
        <v>259</v>
      </c>
      <c r="K339" s="6">
        <v>1.5</v>
      </c>
      <c r="L339" s="5" t="s">
        <v>256</v>
      </c>
    </row>
    <row r="340" spans="1:12">
      <c r="A340" s="3" t="s">
        <v>154</v>
      </c>
      <c r="B340" s="3" t="s">
        <v>155</v>
      </c>
      <c r="C340" s="3" t="s">
        <v>172</v>
      </c>
      <c r="D340" s="1">
        <v>46232</v>
      </c>
      <c r="E340" s="3" t="s">
        <v>173</v>
      </c>
      <c r="F340" s="3" t="s">
        <v>174</v>
      </c>
      <c r="G340" s="4" t="s">
        <v>175</v>
      </c>
      <c r="H340" s="4" t="s">
        <v>176</v>
      </c>
      <c r="I340" s="5" t="s">
        <v>177</v>
      </c>
      <c r="J340" s="5" t="s">
        <v>199</v>
      </c>
      <c r="K340" s="6">
        <v>0</v>
      </c>
      <c r="L340" s="5" t="s">
        <v>222</v>
      </c>
    </row>
    <row r="341" spans="1:12">
      <c r="A341" s="3" t="s">
        <v>154</v>
      </c>
      <c r="B341" s="3" t="s">
        <v>155</v>
      </c>
      <c r="C341" s="3" t="s">
        <v>172</v>
      </c>
      <c r="D341" s="1">
        <v>46233</v>
      </c>
      <c r="E341" s="3" t="s">
        <v>180</v>
      </c>
      <c r="F341" s="3" t="s">
        <v>174</v>
      </c>
      <c r="G341" s="4" t="s">
        <v>175</v>
      </c>
      <c r="H341" s="4" t="s">
        <v>176</v>
      </c>
      <c r="I341" s="5" t="s">
        <v>234</v>
      </c>
      <c r="J341" s="5" t="s">
        <v>286</v>
      </c>
      <c r="K341" s="6">
        <v>1.5</v>
      </c>
      <c r="L341" s="5" t="s">
        <v>323</v>
      </c>
    </row>
    <row r="342" spans="1:12">
      <c r="A342" s="3" t="s">
        <v>154</v>
      </c>
      <c r="B342" s="3" t="s">
        <v>155</v>
      </c>
      <c r="C342" s="3" t="s">
        <v>172</v>
      </c>
      <c r="D342" s="1">
        <v>46234</v>
      </c>
      <c r="E342" s="3" t="s">
        <v>183</v>
      </c>
      <c r="F342" s="3" t="s">
        <v>174</v>
      </c>
      <c r="G342" s="4" t="s">
        <v>175</v>
      </c>
      <c r="H342" s="4" t="s">
        <v>176</v>
      </c>
      <c r="I342" s="5" t="s">
        <v>188</v>
      </c>
      <c r="J342" s="5" t="s">
        <v>239</v>
      </c>
      <c r="K342" s="6">
        <v>1.5</v>
      </c>
      <c r="L342" s="5" t="s">
        <v>324</v>
      </c>
    </row>
    <row r="343" spans="1:12">
      <c r="A343" s="3" t="s">
        <v>156</v>
      </c>
      <c r="B343" s="3" t="s">
        <v>157</v>
      </c>
      <c r="C343" s="3" t="s">
        <v>172</v>
      </c>
      <c r="D343" s="1">
        <v>46204</v>
      </c>
      <c r="E343" s="3" t="s">
        <v>173</v>
      </c>
      <c r="F343" s="3" t="s">
        <v>174</v>
      </c>
      <c r="G343" s="4" t="s">
        <v>175</v>
      </c>
      <c r="H343" s="4" t="s">
        <v>176</v>
      </c>
      <c r="I343" s="5" t="s">
        <v>186</v>
      </c>
      <c r="J343" s="5" t="s">
        <v>220</v>
      </c>
      <c r="K343" s="6">
        <v>0</v>
      </c>
      <c r="L343" s="5" t="s">
        <v>217</v>
      </c>
    </row>
    <row r="344" spans="1:12">
      <c r="A344" s="3" t="s">
        <v>156</v>
      </c>
      <c r="B344" s="3" t="s">
        <v>157</v>
      </c>
      <c r="C344" s="3" t="s">
        <v>172</v>
      </c>
      <c r="D344" s="1">
        <v>46205</v>
      </c>
      <c r="E344" s="3" t="s">
        <v>180</v>
      </c>
      <c r="F344" s="3" t="s">
        <v>174</v>
      </c>
      <c r="G344" s="4" t="s">
        <v>175</v>
      </c>
      <c r="H344" s="4" t="s">
        <v>176</v>
      </c>
      <c r="I344" s="5" t="s">
        <v>194</v>
      </c>
      <c r="J344" s="5" t="s">
        <v>305</v>
      </c>
      <c r="K344" s="6">
        <v>1.5</v>
      </c>
      <c r="L344" s="5" t="s">
        <v>323</v>
      </c>
    </row>
    <row r="345" spans="1:12">
      <c r="A345" s="3" t="s">
        <v>156</v>
      </c>
      <c r="B345" s="3" t="s">
        <v>157</v>
      </c>
      <c r="C345" s="3" t="s">
        <v>172</v>
      </c>
      <c r="D345" s="1">
        <v>46206</v>
      </c>
      <c r="E345" s="3" t="s">
        <v>183</v>
      </c>
      <c r="F345" s="3" t="s">
        <v>174</v>
      </c>
      <c r="G345" s="4" t="s">
        <v>175</v>
      </c>
      <c r="H345" s="4" t="s">
        <v>176</v>
      </c>
      <c r="I345" s="5" t="s">
        <v>188</v>
      </c>
      <c r="J345" s="5" t="s">
        <v>281</v>
      </c>
      <c r="K345" s="6">
        <v>0</v>
      </c>
      <c r="L345" s="5" t="s">
        <v>202</v>
      </c>
    </row>
    <row r="346" spans="1:12">
      <c r="A346" s="3" t="s">
        <v>156</v>
      </c>
      <c r="B346" s="3" t="s">
        <v>157</v>
      </c>
      <c r="C346" s="3" t="s">
        <v>172</v>
      </c>
      <c r="D346" s="1">
        <v>46207</v>
      </c>
      <c r="E346" s="3" t="s">
        <v>187</v>
      </c>
      <c r="F346" s="3" t="s">
        <v>174</v>
      </c>
      <c r="G346" s="4" t="s">
        <v>175</v>
      </c>
      <c r="H346" s="4" t="s">
        <v>176</v>
      </c>
      <c r="I346" s="5" t="s">
        <v>234</v>
      </c>
      <c r="J346" s="5" t="s">
        <v>306</v>
      </c>
      <c r="K346" s="6">
        <v>0</v>
      </c>
      <c r="L346" s="5" t="s">
        <v>234</v>
      </c>
    </row>
    <row r="347" spans="1:12">
      <c r="A347" s="3" t="s">
        <v>156</v>
      </c>
      <c r="B347" s="3" t="s">
        <v>157</v>
      </c>
      <c r="C347" s="3" t="s">
        <v>172</v>
      </c>
      <c r="D347" s="1">
        <v>46208</v>
      </c>
      <c r="E347" s="3" t="s">
        <v>191</v>
      </c>
      <c r="F347" s="3" t="s">
        <v>192</v>
      </c>
      <c r="G347" s="4" t="s">
        <v>175</v>
      </c>
      <c r="H347" s="4" t="s">
        <v>176</v>
      </c>
      <c r="I347" s="5"/>
      <c r="J347" s="5"/>
      <c r="K347" s="6"/>
      <c r="L347" s="5"/>
    </row>
    <row r="348" spans="1:12">
      <c r="A348" s="3" t="s">
        <v>156</v>
      </c>
      <c r="B348" s="3" t="s">
        <v>157</v>
      </c>
      <c r="C348" s="3" t="s">
        <v>172</v>
      </c>
      <c r="D348" s="1">
        <v>46209</v>
      </c>
      <c r="E348" s="3" t="s">
        <v>193</v>
      </c>
      <c r="F348" s="3" t="s">
        <v>174</v>
      </c>
      <c r="G348" s="4" t="s">
        <v>175</v>
      </c>
      <c r="H348" s="4" t="s">
        <v>176</v>
      </c>
      <c r="I348" s="5" t="s">
        <v>205</v>
      </c>
      <c r="J348" s="5" t="s">
        <v>273</v>
      </c>
      <c r="K348" s="6">
        <v>0</v>
      </c>
      <c r="L348" s="5" t="s">
        <v>212</v>
      </c>
    </row>
    <row r="349" spans="1:12">
      <c r="A349" s="3" t="s">
        <v>156</v>
      </c>
      <c r="B349" s="3" t="s">
        <v>157</v>
      </c>
      <c r="C349" s="3" t="s">
        <v>172</v>
      </c>
      <c r="D349" s="1">
        <v>46210</v>
      </c>
      <c r="E349" s="3" t="s">
        <v>197</v>
      </c>
      <c r="F349" s="3" t="s">
        <v>174</v>
      </c>
      <c r="G349" s="4" t="s">
        <v>175</v>
      </c>
      <c r="H349" s="4" t="s">
        <v>176</v>
      </c>
      <c r="I349" s="5" t="s">
        <v>198</v>
      </c>
      <c r="J349" s="5" t="s">
        <v>273</v>
      </c>
      <c r="K349" s="6">
        <v>0</v>
      </c>
      <c r="L349" s="5" t="s">
        <v>277</v>
      </c>
    </row>
    <row r="350" spans="1:12">
      <c r="A350" s="3" t="s">
        <v>156</v>
      </c>
      <c r="B350" s="3" t="s">
        <v>157</v>
      </c>
      <c r="C350" s="3" t="s">
        <v>172</v>
      </c>
      <c r="D350" s="1">
        <v>46211</v>
      </c>
      <c r="E350" s="3" t="s">
        <v>173</v>
      </c>
      <c r="F350" s="3" t="s">
        <v>174</v>
      </c>
      <c r="G350" s="4" t="s">
        <v>175</v>
      </c>
      <c r="H350" s="4" t="s">
        <v>176</v>
      </c>
      <c r="I350" s="5" t="s">
        <v>211</v>
      </c>
      <c r="J350" s="5" t="s">
        <v>339</v>
      </c>
      <c r="K350" s="6">
        <v>1.5</v>
      </c>
      <c r="L350" s="5" t="s">
        <v>292</v>
      </c>
    </row>
    <row r="351" spans="1:12">
      <c r="A351" s="3" t="s">
        <v>156</v>
      </c>
      <c r="B351" s="3" t="s">
        <v>157</v>
      </c>
      <c r="C351" s="3" t="s">
        <v>172</v>
      </c>
      <c r="D351" s="1">
        <v>46212</v>
      </c>
      <c r="E351" s="3" t="s">
        <v>180</v>
      </c>
      <c r="F351" s="3" t="s">
        <v>174</v>
      </c>
      <c r="G351" s="4" t="s">
        <v>175</v>
      </c>
      <c r="H351" s="4" t="s">
        <v>176</v>
      </c>
      <c r="I351" s="5" t="s">
        <v>202</v>
      </c>
      <c r="J351" s="5" t="s">
        <v>302</v>
      </c>
      <c r="K351" s="6">
        <v>1.5</v>
      </c>
      <c r="L351" s="5" t="s">
        <v>233</v>
      </c>
    </row>
    <row r="352" spans="1:12">
      <c r="A352" s="3" t="s">
        <v>156</v>
      </c>
      <c r="B352" s="3" t="s">
        <v>157</v>
      </c>
      <c r="C352" s="3" t="s">
        <v>172</v>
      </c>
      <c r="D352" s="1">
        <v>46213</v>
      </c>
      <c r="E352" s="3" t="s">
        <v>183</v>
      </c>
      <c r="F352" s="3" t="s">
        <v>174</v>
      </c>
      <c r="G352" s="4" t="s">
        <v>175</v>
      </c>
      <c r="H352" s="4" t="s">
        <v>176</v>
      </c>
      <c r="I352" s="5" t="s">
        <v>202</v>
      </c>
      <c r="J352" s="5" t="s">
        <v>207</v>
      </c>
      <c r="K352" s="6">
        <v>0</v>
      </c>
      <c r="L352" s="5" t="s">
        <v>205</v>
      </c>
    </row>
    <row r="353" spans="1:12">
      <c r="A353" s="3" t="s">
        <v>156</v>
      </c>
      <c r="B353" s="3" t="s">
        <v>157</v>
      </c>
      <c r="C353" s="3" t="s">
        <v>172</v>
      </c>
      <c r="D353" s="1">
        <v>46214</v>
      </c>
      <c r="E353" s="3" t="s">
        <v>187</v>
      </c>
      <c r="F353" s="3" t="s">
        <v>174</v>
      </c>
      <c r="G353" s="4" t="s">
        <v>175</v>
      </c>
      <c r="H353" s="4" t="s">
        <v>176</v>
      </c>
      <c r="I353" s="5" t="s">
        <v>188</v>
      </c>
      <c r="J353" s="5" t="s">
        <v>321</v>
      </c>
      <c r="K353" s="6">
        <v>1.5</v>
      </c>
      <c r="L353" s="5" t="s">
        <v>283</v>
      </c>
    </row>
    <row r="354" spans="1:12">
      <c r="A354" s="3" t="s">
        <v>156</v>
      </c>
      <c r="B354" s="3" t="s">
        <v>157</v>
      </c>
      <c r="C354" s="3" t="s">
        <v>172</v>
      </c>
      <c r="D354" s="1">
        <v>46215</v>
      </c>
      <c r="E354" s="3" t="s">
        <v>191</v>
      </c>
      <c r="F354" s="3" t="s">
        <v>192</v>
      </c>
      <c r="G354" s="4" t="s">
        <v>175</v>
      </c>
      <c r="H354" s="4" t="s">
        <v>176</v>
      </c>
      <c r="I354" s="5"/>
      <c r="J354" s="5"/>
      <c r="K354" s="6"/>
      <c r="L354" s="5"/>
    </row>
    <row r="355" spans="1:12">
      <c r="A355" s="3" t="s">
        <v>156</v>
      </c>
      <c r="B355" s="3" t="s">
        <v>157</v>
      </c>
      <c r="C355" s="3" t="s">
        <v>172</v>
      </c>
      <c r="D355" s="1">
        <v>46216</v>
      </c>
      <c r="E355" s="3" t="s">
        <v>193</v>
      </c>
      <c r="F355" s="3" t="s">
        <v>174</v>
      </c>
      <c r="G355" s="4" t="s">
        <v>175</v>
      </c>
      <c r="H355" s="4" t="s">
        <v>176</v>
      </c>
      <c r="I355" s="5" t="s">
        <v>190</v>
      </c>
      <c r="J355" s="5" t="s">
        <v>195</v>
      </c>
      <c r="K355" s="6">
        <v>0</v>
      </c>
      <c r="L355" s="5" t="s">
        <v>300</v>
      </c>
    </row>
    <row r="356" spans="1:12">
      <c r="A356" s="3" t="s">
        <v>156</v>
      </c>
      <c r="B356" s="3" t="s">
        <v>157</v>
      </c>
      <c r="C356" s="3" t="s">
        <v>172</v>
      </c>
      <c r="D356" s="1">
        <v>46217</v>
      </c>
      <c r="E356" s="3" t="s">
        <v>197</v>
      </c>
      <c r="F356" s="3" t="s">
        <v>174</v>
      </c>
      <c r="G356" s="4" t="s">
        <v>175</v>
      </c>
      <c r="H356" s="4" t="s">
        <v>176</v>
      </c>
      <c r="I356" s="5" t="s">
        <v>269</v>
      </c>
      <c r="J356" s="5" t="s">
        <v>185</v>
      </c>
      <c r="K356" s="6">
        <v>0</v>
      </c>
      <c r="L356" s="5" t="s">
        <v>188</v>
      </c>
    </row>
    <row r="357" spans="1:12">
      <c r="A357" s="3" t="s">
        <v>156</v>
      </c>
      <c r="B357" s="3" t="s">
        <v>157</v>
      </c>
      <c r="C357" s="3" t="s">
        <v>172</v>
      </c>
      <c r="D357" s="1">
        <v>46218</v>
      </c>
      <c r="E357" s="3" t="s">
        <v>173</v>
      </c>
      <c r="F357" s="3" t="s">
        <v>174</v>
      </c>
      <c r="G357" s="4" t="s">
        <v>175</v>
      </c>
      <c r="H357" s="4" t="s">
        <v>176</v>
      </c>
      <c r="I357" s="5" t="s">
        <v>190</v>
      </c>
      <c r="J357" s="5" t="s">
        <v>213</v>
      </c>
      <c r="K357" s="6">
        <v>0</v>
      </c>
      <c r="L357" s="5" t="s">
        <v>198</v>
      </c>
    </row>
    <row r="358" spans="1:12">
      <c r="A358" s="3" t="s">
        <v>156</v>
      </c>
      <c r="B358" s="3" t="s">
        <v>157</v>
      </c>
      <c r="C358" s="3" t="s">
        <v>172</v>
      </c>
      <c r="D358" s="1">
        <v>46219</v>
      </c>
      <c r="E358" s="3" t="s">
        <v>180</v>
      </c>
      <c r="F358" s="3" t="s">
        <v>174</v>
      </c>
      <c r="G358" s="4" t="s">
        <v>175</v>
      </c>
      <c r="H358" s="4" t="s">
        <v>176</v>
      </c>
      <c r="I358" s="5" t="s">
        <v>190</v>
      </c>
      <c r="J358" s="5" t="s">
        <v>327</v>
      </c>
      <c r="K358" s="6">
        <v>1.5</v>
      </c>
      <c r="L358" s="5" t="s">
        <v>243</v>
      </c>
    </row>
    <row r="359" spans="1:12">
      <c r="A359" s="3" t="s">
        <v>156</v>
      </c>
      <c r="B359" s="3" t="s">
        <v>157</v>
      </c>
      <c r="C359" s="3" t="s">
        <v>172</v>
      </c>
      <c r="D359" s="1">
        <v>46220</v>
      </c>
      <c r="E359" s="3" t="s">
        <v>183</v>
      </c>
      <c r="F359" s="3" t="s">
        <v>174</v>
      </c>
      <c r="G359" s="4" t="s">
        <v>175</v>
      </c>
      <c r="H359" s="4" t="s">
        <v>176</v>
      </c>
      <c r="I359" s="5" t="s">
        <v>205</v>
      </c>
      <c r="J359" s="5" t="s">
        <v>220</v>
      </c>
      <c r="K359" s="6">
        <v>0</v>
      </c>
      <c r="L359" s="5" t="s">
        <v>205</v>
      </c>
    </row>
    <row r="360" spans="1:12">
      <c r="A360" s="3" t="s">
        <v>156</v>
      </c>
      <c r="B360" s="3" t="s">
        <v>157</v>
      </c>
      <c r="C360" s="3" t="s">
        <v>172</v>
      </c>
      <c r="D360" s="1">
        <v>46221</v>
      </c>
      <c r="E360" s="3" t="s">
        <v>187</v>
      </c>
      <c r="F360" s="3" t="s">
        <v>174</v>
      </c>
      <c r="G360" s="4" t="s">
        <v>175</v>
      </c>
      <c r="H360" s="4" t="s">
        <v>176</v>
      </c>
      <c r="I360" s="5" t="s">
        <v>194</v>
      </c>
      <c r="J360" s="5" t="s">
        <v>321</v>
      </c>
      <c r="K360" s="6">
        <v>1.5</v>
      </c>
      <c r="L360" s="5" t="s">
        <v>240</v>
      </c>
    </row>
    <row r="361" spans="1:12">
      <c r="A361" s="3" t="s">
        <v>156</v>
      </c>
      <c r="B361" s="3" t="s">
        <v>157</v>
      </c>
      <c r="C361" s="3" t="s">
        <v>172</v>
      </c>
      <c r="D361" s="1">
        <v>46222</v>
      </c>
      <c r="E361" s="3" t="s">
        <v>191</v>
      </c>
      <c r="F361" s="3" t="s">
        <v>192</v>
      </c>
      <c r="G361" s="4" t="s">
        <v>175</v>
      </c>
      <c r="H361" s="4" t="s">
        <v>176</v>
      </c>
      <c r="I361" s="5"/>
      <c r="J361" s="5"/>
      <c r="K361" s="6"/>
      <c r="L361" s="5"/>
    </row>
    <row r="362" spans="1:12">
      <c r="A362" s="3" t="s">
        <v>156</v>
      </c>
      <c r="B362" s="3" t="s">
        <v>157</v>
      </c>
      <c r="C362" s="3" t="s">
        <v>172</v>
      </c>
      <c r="D362" s="1">
        <v>46223</v>
      </c>
      <c r="E362" s="3" t="s">
        <v>193</v>
      </c>
      <c r="F362" s="3" t="s">
        <v>174</v>
      </c>
      <c r="G362" s="4" t="s">
        <v>175</v>
      </c>
      <c r="H362" s="4" t="s">
        <v>176</v>
      </c>
      <c r="I362" s="5" t="s">
        <v>211</v>
      </c>
      <c r="J362" s="5" t="s">
        <v>268</v>
      </c>
      <c r="K362" s="6">
        <v>0</v>
      </c>
      <c r="L362" s="5" t="s">
        <v>277</v>
      </c>
    </row>
    <row r="363" spans="1:12">
      <c r="A363" s="3" t="s">
        <v>156</v>
      </c>
      <c r="B363" s="3" t="s">
        <v>157</v>
      </c>
      <c r="C363" s="3" t="s">
        <v>172</v>
      </c>
      <c r="D363" s="1">
        <v>46224</v>
      </c>
      <c r="E363" s="3" t="s">
        <v>197</v>
      </c>
      <c r="F363" s="3" t="s">
        <v>174</v>
      </c>
      <c r="G363" s="4" t="s">
        <v>175</v>
      </c>
      <c r="H363" s="4" t="s">
        <v>176</v>
      </c>
      <c r="I363" s="5" t="s">
        <v>186</v>
      </c>
      <c r="J363" s="5" t="s">
        <v>220</v>
      </c>
      <c r="K363" s="6">
        <v>0</v>
      </c>
      <c r="L363" s="5" t="s">
        <v>217</v>
      </c>
    </row>
    <row r="364" spans="1:12">
      <c r="A364" s="3" t="s">
        <v>156</v>
      </c>
      <c r="B364" s="3" t="s">
        <v>157</v>
      </c>
      <c r="C364" s="3" t="s">
        <v>172</v>
      </c>
      <c r="D364" s="1">
        <v>46225</v>
      </c>
      <c r="E364" s="3" t="s">
        <v>173</v>
      </c>
      <c r="F364" s="3" t="s">
        <v>174</v>
      </c>
      <c r="G364" s="4" t="s">
        <v>175</v>
      </c>
      <c r="H364" s="4" t="s">
        <v>176</v>
      </c>
      <c r="I364" s="5" t="s">
        <v>269</v>
      </c>
      <c r="J364" s="5" t="s">
        <v>189</v>
      </c>
      <c r="K364" s="6">
        <v>0</v>
      </c>
      <c r="L364" s="5" t="s">
        <v>252</v>
      </c>
    </row>
    <row r="365" spans="1:12">
      <c r="A365" s="3" t="s">
        <v>156</v>
      </c>
      <c r="B365" s="3" t="s">
        <v>157</v>
      </c>
      <c r="C365" s="3" t="s">
        <v>172</v>
      </c>
      <c r="D365" s="1">
        <v>46226</v>
      </c>
      <c r="E365" s="3" t="s">
        <v>180</v>
      </c>
      <c r="F365" s="3" t="s">
        <v>174</v>
      </c>
      <c r="G365" s="4" t="s">
        <v>175</v>
      </c>
      <c r="H365" s="4" t="s">
        <v>176</v>
      </c>
      <c r="I365" s="5" t="s">
        <v>177</v>
      </c>
      <c r="J365" s="5" t="s">
        <v>228</v>
      </c>
      <c r="K365" s="6">
        <v>0</v>
      </c>
      <c r="L365" s="5" t="s">
        <v>202</v>
      </c>
    </row>
    <row r="366" spans="1:12">
      <c r="A366" s="3" t="s">
        <v>156</v>
      </c>
      <c r="B366" s="3" t="s">
        <v>157</v>
      </c>
      <c r="C366" s="3" t="s">
        <v>172</v>
      </c>
      <c r="D366" s="1">
        <v>46227</v>
      </c>
      <c r="E366" s="3" t="s">
        <v>183</v>
      </c>
      <c r="F366" s="3" t="s">
        <v>174</v>
      </c>
      <c r="G366" s="4" t="s">
        <v>175</v>
      </c>
      <c r="H366" s="4" t="s">
        <v>176</v>
      </c>
      <c r="I366" s="5" t="s">
        <v>209</v>
      </c>
      <c r="J366" s="5" t="s">
        <v>244</v>
      </c>
      <c r="K366" s="6">
        <v>1.5</v>
      </c>
      <c r="L366" s="5" t="s">
        <v>285</v>
      </c>
    </row>
    <row r="367" spans="1:12">
      <c r="A367" s="3" t="s">
        <v>156</v>
      </c>
      <c r="B367" s="3" t="s">
        <v>157</v>
      </c>
      <c r="C367" s="3" t="s">
        <v>172</v>
      </c>
      <c r="D367" s="1">
        <v>46228</v>
      </c>
      <c r="E367" s="3" t="s">
        <v>187</v>
      </c>
      <c r="F367" s="3" t="s">
        <v>174</v>
      </c>
      <c r="G367" s="4" t="s">
        <v>175</v>
      </c>
      <c r="H367" s="4" t="s">
        <v>176</v>
      </c>
      <c r="I367" s="5" t="s">
        <v>205</v>
      </c>
      <c r="J367" s="5" t="s">
        <v>273</v>
      </c>
      <c r="K367" s="6">
        <v>0</v>
      </c>
      <c r="L367" s="5" t="s">
        <v>212</v>
      </c>
    </row>
    <row r="368" spans="1:12">
      <c r="A368" s="3" t="s">
        <v>156</v>
      </c>
      <c r="B368" s="3" t="s">
        <v>157</v>
      </c>
      <c r="C368" s="3" t="s">
        <v>172</v>
      </c>
      <c r="D368" s="1">
        <v>46229</v>
      </c>
      <c r="E368" s="3" t="s">
        <v>191</v>
      </c>
      <c r="F368" s="3" t="s">
        <v>192</v>
      </c>
      <c r="G368" s="4" t="s">
        <v>175</v>
      </c>
      <c r="H368" s="4" t="s">
        <v>176</v>
      </c>
      <c r="I368" s="5"/>
      <c r="J368" s="5"/>
      <c r="K368" s="6"/>
      <c r="L368" s="5"/>
    </row>
    <row r="369" spans="1:12">
      <c r="A369" s="3" t="s">
        <v>156</v>
      </c>
      <c r="B369" s="3" t="s">
        <v>157</v>
      </c>
      <c r="C369" s="3" t="s">
        <v>172</v>
      </c>
      <c r="D369" s="1">
        <v>46230</v>
      </c>
      <c r="E369" s="3" t="s">
        <v>193</v>
      </c>
      <c r="F369" s="3" t="s">
        <v>174</v>
      </c>
      <c r="G369" s="4" t="s">
        <v>175</v>
      </c>
      <c r="H369" s="4" t="s">
        <v>176</v>
      </c>
      <c r="I369" s="5" t="s">
        <v>252</v>
      </c>
      <c r="J369" s="5" t="s">
        <v>244</v>
      </c>
      <c r="K369" s="6">
        <v>1.5</v>
      </c>
      <c r="L369" s="5" t="s">
        <v>243</v>
      </c>
    </row>
    <row r="370" spans="1:12">
      <c r="A370" s="3" t="s">
        <v>156</v>
      </c>
      <c r="B370" s="3" t="s">
        <v>157</v>
      </c>
      <c r="C370" s="3" t="s">
        <v>172</v>
      </c>
      <c r="D370" s="1">
        <v>46231</v>
      </c>
      <c r="E370" s="3" t="s">
        <v>197</v>
      </c>
      <c r="F370" s="3" t="s">
        <v>174</v>
      </c>
      <c r="G370" s="4" t="s">
        <v>175</v>
      </c>
      <c r="H370" s="4" t="s">
        <v>176</v>
      </c>
      <c r="I370" s="5" t="s">
        <v>269</v>
      </c>
      <c r="J370" s="5" t="s">
        <v>340</v>
      </c>
      <c r="K370" s="6">
        <v>1</v>
      </c>
      <c r="L370" s="5" t="s">
        <v>225</v>
      </c>
    </row>
    <row r="371" spans="1:12">
      <c r="A371" s="3" t="s">
        <v>156</v>
      </c>
      <c r="B371" s="3" t="s">
        <v>157</v>
      </c>
      <c r="C371" s="3" t="s">
        <v>172</v>
      </c>
      <c r="D371" s="1">
        <v>46232</v>
      </c>
      <c r="E371" s="3" t="s">
        <v>173</v>
      </c>
      <c r="F371" s="3" t="s">
        <v>174</v>
      </c>
      <c r="G371" s="4" t="s">
        <v>175</v>
      </c>
      <c r="H371" s="4" t="s">
        <v>176</v>
      </c>
      <c r="I371" s="5" t="s">
        <v>186</v>
      </c>
      <c r="J371" s="5" t="s">
        <v>337</v>
      </c>
      <c r="K371" s="6">
        <v>1.5</v>
      </c>
      <c r="L371" s="5" t="s">
        <v>245</v>
      </c>
    </row>
    <row r="372" spans="1:12">
      <c r="A372" s="3" t="s">
        <v>156</v>
      </c>
      <c r="B372" s="3" t="s">
        <v>157</v>
      </c>
      <c r="C372" s="3" t="s">
        <v>172</v>
      </c>
      <c r="D372" s="1">
        <v>46233</v>
      </c>
      <c r="E372" s="3" t="s">
        <v>180</v>
      </c>
      <c r="F372" s="3" t="s">
        <v>174</v>
      </c>
      <c r="G372" s="4" t="s">
        <v>175</v>
      </c>
      <c r="H372" s="4" t="s">
        <v>176</v>
      </c>
      <c r="I372" s="5" t="s">
        <v>184</v>
      </c>
      <c r="J372" s="5" t="s">
        <v>293</v>
      </c>
      <c r="K372" s="6">
        <v>1.5</v>
      </c>
      <c r="L372" s="5" t="s">
        <v>318</v>
      </c>
    </row>
    <row r="373" spans="1:12">
      <c r="A373" s="3" t="s">
        <v>156</v>
      </c>
      <c r="B373" s="3" t="s">
        <v>157</v>
      </c>
      <c r="C373" s="3" t="s">
        <v>172</v>
      </c>
      <c r="D373" s="1">
        <v>46234</v>
      </c>
      <c r="E373" s="3" t="s">
        <v>183</v>
      </c>
      <c r="F373" s="3" t="s">
        <v>174</v>
      </c>
      <c r="G373" s="4" t="s">
        <v>175</v>
      </c>
      <c r="H373" s="4" t="s">
        <v>176</v>
      </c>
      <c r="I373" s="5" t="s">
        <v>194</v>
      </c>
      <c r="J373" s="5" t="s">
        <v>195</v>
      </c>
      <c r="K373" s="6">
        <v>0</v>
      </c>
      <c r="L373" s="5" t="s">
        <v>196</v>
      </c>
    </row>
    <row r="374" spans="1:12">
      <c r="A374" s="3" t="s">
        <v>158</v>
      </c>
      <c r="B374" s="3" t="s">
        <v>159</v>
      </c>
      <c r="C374" s="3" t="s">
        <v>172</v>
      </c>
      <c r="D374" s="1">
        <v>46204</v>
      </c>
      <c r="E374" s="3" t="s">
        <v>173</v>
      </c>
      <c r="F374" s="3" t="s">
        <v>174</v>
      </c>
      <c r="G374" s="4" t="s">
        <v>175</v>
      </c>
      <c r="H374" s="4" t="s">
        <v>176</v>
      </c>
      <c r="I374" s="5" t="s">
        <v>177</v>
      </c>
      <c r="J374" s="5" t="s">
        <v>189</v>
      </c>
      <c r="K374" s="6">
        <v>0</v>
      </c>
      <c r="L374" s="5" t="s">
        <v>211</v>
      </c>
    </row>
    <row r="375" spans="1:12">
      <c r="A375" s="3" t="s">
        <v>158</v>
      </c>
      <c r="B375" s="3" t="s">
        <v>159</v>
      </c>
      <c r="C375" s="3" t="s">
        <v>172</v>
      </c>
      <c r="D375" s="1">
        <v>46205</v>
      </c>
      <c r="E375" s="3" t="s">
        <v>180</v>
      </c>
      <c r="F375" s="3" t="s">
        <v>181</v>
      </c>
      <c r="G375" s="4" t="s">
        <v>175</v>
      </c>
      <c r="H375" s="4" t="s">
        <v>176</v>
      </c>
      <c r="I375" s="5"/>
      <c r="J375" s="5"/>
      <c r="K375" s="6">
        <v>0</v>
      </c>
      <c r="L375" s="5" t="s">
        <v>182</v>
      </c>
    </row>
    <row r="376" spans="1:12">
      <c r="A376" s="3" t="s">
        <v>158</v>
      </c>
      <c r="B376" s="3" t="s">
        <v>159</v>
      </c>
      <c r="C376" s="3" t="s">
        <v>172</v>
      </c>
      <c r="D376" s="1">
        <v>46206</v>
      </c>
      <c r="E376" s="3" t="s">
        <v>183</v>
      </c>
      <c r="F376" s="3" t="s">
        <v>174</v>
      </c>
      <c r="G376" s="4" t="s">
        <v>175</v>
      </c>
      <c r="H376" s="4" t="s">
        <v>176</v>
      </c>
      <c r="I376" s="5" t="s">
        <v>269</v>
      </c>
      <c r="J376" s="5" t="s">
        <v>199</v>
      </c>
      <c r="K376" s="6">
        <v>0</v>
      </c>
      <c r="L376" s="5" t="s">
        <v>208</v>
      </c>
    </row>
    <row r="377" spans="1:12">
      <c r="A377" s="3" t="s">
        <v>158</v>
      </c>
      <c r="B377" s="3" t="s">
        <v>159</v>
      </c>
      <c r="C377" s="3" t="s">
        <v>172</v>
      </c>
      <c r="D377" s="1">
        <v>46207</v>
      </c>
      <c r="E377" s="3" t="s">
        <v>187</v>
      </c>
      <c r="F377" s="3" t="s">
        <v>174</v>
      </c>
      <c r="G377" s="4" t="s">
        <v>175</v>
      </c>
      <c r="H377" s="4" t="s">
        <v>176</v>
      </c>
      <c r="I377" s="5" t="s">
        <v>252</v>
      </c>
      <c r="J377" s="5" t="s">
        <v>189</v>
      </c>
      <c r="K377" s="6">
        <v>0</v>
      </c>
      <c r="L377" s="5" t="s">
        <v>269</v>
      </c>
    </row>
    <row r="378" spans="1:12">
      <c r="A378" s="3" t="s">
        <v>158</v>
      </c>
      <c r="B378" s="3" t="s">
        <v>159</v>
      </c>
      <c r="C378" s="3" t="s">
        <v>172</v>
      </c>
      <c r="D378" s="1">
        <v>46208</v>
      </c>
      <c r="E378" s="3" t="s">
        <v>191</v>
      </c>
      <c r="F378" s="3" t="s">
        <v>192</v>
      </c>
      <c r="G378" s="4" t="s">
        <v>175</v>
      </c>
      <c r="H378" s="4" t="s">
        <v>176</v>
      </c>
      <c r="I378" s="5"/>
      <c r="J378" s="5"/>
      <c r="K378" s="6"/>
      <c r="L378" s="5"/>
    </row>
    <row r="379" spans="1:12">
      <c r="A379" s="3" t="s">
        <v>158</v>
      </c>
      <c r="B379" s="3" t="s">
        <v>159</v>
      </c>
      <c r="C379" s="3" t="s">
        <v>172</v>
      </c>
      <c r="D379" s="1">
        <v>46209</v>
      </c>
      <c r="E379" s="3" t="s">
        <v>193</v>
      </c>
      <c r="F379" s="3" t="s">
        <v>174</v>
      </c>
      <c r="G379" s="4" t="s">
        <v>175</v>
      </c>
      <c r="H379" s="4" t="s">
        <v>176</v>
      </c>
      <c r="I379" s="5" t="s">
        <v>177</v>
      </c>
      <c r="J379" s="5" t="s">
        <v>304</v>
      </c>
      <c r="K379" s="6">
        <v>0</v>
      </c>
      <c r="L379" s="5" t="s">
        <v>194</v>
      </c>
    </row>
    <row r="380" spans="1:12">
      <c r="A380" s="3" t="s">
        <v>158</v>
      </c>
      <c r="B380" s="3" t="s">
        <v>159</v>
      </c>
      <c r="C380" s="3" t="s">
        <v>172</v>
      </c>
      <c r="D380" s="1">
        <v>46210</v>
      </c>
      <c r="E380" s="3" t="s">
        <v>197</v>
      </c>
      <c r="F380" s="3" t="s">
        <v>174</v>
      </c>
      <c r="G380" s="4" t="s">
        <v>175</v>
      </c>
      <c r="H380" s="4" t="s">
        <v>176</v>
      </c>
      <c r="I380" s="5" t="s">
        <v>202</v>
      </c>
      <c r="J380" s="5" t="s">
        <v>228</v>
      </c>
      <c r="K380" s="6">
        <v>0</v>
      </c>
      <c r="L380" s="5" t="s">
        <v>177</v>
      </c>
    </row>
    <row r="381" spans="1:12">
      <c r="A381" s="3" t="s">
        <v>158</v>
      </c>
      <c r="B381" s="3" t="s">
        <v>159</v>
      </c>
      <c r="C381" s="3" t="s">
        <v>172</v>
      </c>
      <c r="D381" s="1">
        <v>46211</v>
      </c>
      <c r="E381" s="3" t="s">
        <v>173</v>
      </c>
      <c r="F381" s="3" t="s">
        <v>174</v>
      </c>
      <c r="G381" s="4" t="s">
        <v>175</v>
      </c>
      <c r="H381" s="4" t="s">
        <v>176</v>
      </c>
      <c r="I381" s="5" t="s">
        <v>186</v>
      </c>
      <c r="J381" s="5" t="s">
        <v>221</v>
      </c>
      <c r="K381" s="6">
        <v>0</v>
      </c>
      <c r="L381" s="5" t="s">
        <v>179</v>
      </c>
    </row>
    <row r="382" spans="1:12">
      <c r="A382" s="3" t="s">
        <v>158</v>
      </c>
      <c r="B382" s="3" t="s">
        <v>159</v>
      </c>
      <c r="C382" s="3" t="s">
        <v>172</v>
      </c>
      <c r="D382" s="1">
        <v>46212</v>
      </c>
      <c r="E382" s="3" t="s">
        <v>180</v>
      </c>
      <c r="F382" s="3" t="s">
        <v>181</v>
      </c>
      <c r="G382" s="4" t="s">
        <v>175</v>
      </c>
      <c r="H382" s="4" t="s">
        <v>176</v>
      </c>
      <c r="I382" s="5"/>
      <c r="J382" s="5"/>
      <c r="K382" s="6">
        <v>0</v>
      </c>
      <c r="L382" s="5" t="s">
        <v>182</v>
      </c>
    </row>
    <row r="383" spans="1:12">
      <c r="A383" s="3" t="s">
        <v>158</v>
      </c>
      <c r="B383" s="3" t="s">
        <v>159</v>
      </c>
      <c r="C383" s="3" t="s">
        <v>172</v>
      </c>
      <c r="D383" s="1">
        <v>46213</v>
      </c>
      <c r="E383" s="3" t="s">
        <v>183</v>
      </c>
      <c r="F383" s="3" t="s">
        <v>181</v>
      </c>
      <c r="G383" s="4" t="s">
        <v>175</v>
      </c>
      <c r="H383" s="4" t="s">
        <v>176</v>
      </c>
      <c r="I383" s="5"/>
      <c r="J383" s="5"/>
      <c r="K383" s="6">
        <v>0</v>
      </c>
      <c r="L383" s="5" t="s">
        <v>182</v>
      </c>
    </row>
    <row r="384" spans="1:12">
      <c r="A384" s="3" t="s">
        <v>158</v>
      </c>
      <c r="B384" s="3" t="s">
        <v>159</v>
      </c>
      <c r="C384" s="3" t="s">
        <v>172</v>
      </c>
      <c r="D384" s="1">
        <v>46214</v>
      </c>
      <c r="E384" s="3" t="s">
        <v>187</v>
      </c>
      <c r="F384" s="3" t="s">
        <v>174</v>
      </c>
      <c r="G384" s="4" t="s">
        <v>175</v>
      </c>
      <c r="H384" s="4" t="s">
        <v>176</v>
      </c>
      <c r="I384" s="5" t="s">
        <v>208</v>
      </c>
      <c r="J384" s="5" t="s">
        <v>279</v>
      </c>
      <c r="K384" s="6">
        <v>0</v>
      </c>
      <c r="L384" s="5" t="s">
        <v>215</v>
      </c>
    </row>
    <row r="385" spans="1:12">
      <c r="A385" s="3" t="s">
        <v>158</v>
      </c>
      <c r="B385" s="3" t="s">
        <v>159</v>
      </c>
      <c r="C385" s="3" t="s">
        <v>172</v>
      </c>
      <c r="D385" s="1">
        <v>46215</v>
      </c>
      <c r="E385" s="3" t="s">
        <v>191</v>
      </c>
      <c r="F385" s="3" t="s">
        <v>192</v>
      </c>
      <c r="G385" s="4" t="s">
        <v>175</v>
      </c>
      <c r="H385" s="4" t="s">
        <v>176</v>
      </c>
      <c r="I385" s="5"/>
      <c r="J385" s="5"/>
      <c r="K385" s="6"/>
      <c r="L385" s="5"/>
    </row>
    <row r="386" spans="1:12">
      <c r="A386" s="3" t="s">
        <v>158</v>
      </c>
      <c r="B386" s="3" t="s">
        <v>159</v>
      </c>
      <c r="C386" s="3" t="s">
        <v>172</v>
      </c>
      <c r="D386" s="1">
        <v>46216</v>
      </c>
      <c r="E386" s="3" t="s">
        <v>193</v>
      </c>
      <c r="F386" s="3" t="s">
        <v>174</v>
      </c>
      <c r="G386" s="4" t="s">
        <v>175</v>
      </c>
      <c r="H386" s="4" t="s">
        <v>176</v>
      </c>
      <c r="I386" s="5" t="s">
        <v>188</v>
      </c>
      <c r="J386" s="5" t="s">
        <v>210</v>
      </c>
      <c r="K386" s="6">
        <v>0</v>
      </c>
      <c r="L386" s="5" t="s">
        <v>208</v>
      </c>
    </row>
    <row r="387" spans="1:12">
      <c r="A387" s="3" t="s">
        <v>158</v>
      </c>
      <c r="B387" s="3" t="s">
        <v>159</v>
      </c>
      <c r="C387" s="3" t="s">
        <v>172</v>
      </c>
      <c r="D387" s="1">
        <v>46217</v>
      </c>
      <c r="E387" s="3" t="s">
        <v>197</v>
      </c>
      <c r="F387" s="3" t="s">
        <v>174</v>
      </c>
      <c r="G387" s="4" t="s">
        <v>175</v>
      </c>
      <c r="H387" s="4" t="s">
        <v>176</v>
      </c>
      <c r="I387" s="5" t="s">
        <v>184</v>
      </c>
      <c r="J387" s="5" t="s">
        <v>201</v>
      </c>
      <c r="K387" s="6">
        <v>0</v>
      </c>
      <c r="L387" s="5" t="s">
        <v>209</v>
      </c>
    </row>
    <row r="388" spans="1:12">
      <c r="A388" s="3" t="s">
        <v>158</v>
      </c>
      <c r="B388" s="3" t="s">
        <v>159</v>
      </c>
      <c r="C388" s="3" t="s">
        <v>172</v>
      </c>
      <c r="D388" s="1">
        <v>46218</v>
      </c>
      <c r="E388" s="3" t="s">
        <v>173</v>
      </c>
      <c r="F388" s="3" t="s">
        <v>174</v>
      </c>
      <c r="G388" s="4" t="s">
        <v>175</v>
      </c>
      <c r="H388" s="4" t="s">
        <v>176</v>
      </c>
      <c r="I388" s="5" t="s">
        <v>186</v>
      </c>
      <c r="J388" s="5" t="s">
        <v>272</v>
      </c>
      <c r="K388" s="6">
        <v>0</v>
      </c>
      <c r="L388" s="5" t="s">
        <v>209</v>
      </c>
    </row>
    <row r="389" spans="1:12">
      <c r="A389" s="3" t="s">
        <v>158</v>
      </c>
      <c r="B389" s="3" t="s">
        <v>159</v>
      </c>
      <c r="C389" s="3" t="s">
        <v>172</v>
      </c>
      <c r="D389" s="1">
        <v>46219</v>
      </c>
      <c r="E389" s="3" t="s">
        <v>180</v>
      </c>
      <c r="F389" s="3" t="s">
        <v>181</v>
      </c>
      <c r="G389" s="4" t="s">
        <v>175</v>
      </c>
      <c r="H389" s="4" t="s">
        <v>176</v>
      </c>
      <c r="I389" s="5"/>
      <c r="J389" s="5"/>
      <c r="K389" s="6">
        <v>0</v>
      </c>
      <c r="L389" s="5" t="s">
        <v>182</v>
      </c>
    </row>
    <row r="390" spans="1:12">
      <c r="A390" s="3" t="s">
        <v>158</v>
      </c>
      <c r="B390" s="3" t="s">
        <v>159</v>
      </c>
      <c r="C390" s="3" t="s">
        <v>172</v>
      </c>
      <c r="D390" s="1">
        <v>46220</v>
      </c>
      <c r="E390" s="3" t="s">
        <v>183</v>
      </c>
      <c r="F390" s="3" t="s">
        <v>181</v>
      </c>
      <c r="G390" s="4" t="s">
        <v>175</v>
      </c>
      <c r="H390" s="4" t="s">
        <v>176</v>
      </c>
      <c r="I390" s="5"/>
      <c r="J390" s="5"/>
      <c r="K390" s="6">
        <v>0</v>
      </c>
      <c r="L390" s="5" t="s">
        <v>182</v>
      </c>
    </row>
    <row r="391" spans="1:12">
      <c r="A391" s="3" t="s">
        <v>158</v>
      </c>
      <c r="B391" s="3" t="s">
        <v>159</v>
      </c>
      <c r="C391" s="3" t="s">
        <v>172</v>
      </c>
      <c r="D391" s="1">
        <v>46221</v>
      </c>
      <c r="E391" s="3" t="s">
        <v>187</v>
      </c>
      <c r="F391" s="3" t="s">
        <v>181</v>
      </c>
      <c r="G391" s="4" t="s">
        <v>175</v>
      </c>
      <c r="H391" s="4" t="s">
        <v>176</v>
      </c>
      <c r="I391" s="5"/>
      <c r="J391" s="5"/>
      <c r="K391" s="6">
        <v>0</v>
      </c>
      <c r="L391" s="5" t="s">
        <v>182</v>
      </c>
    </row>
    <row r="392" spans="1:12">
      <c r="A392" s="3" t="s">
        <v>158</v>
      </c>
      <c r="B392" s="3" t="s">
        <v>159</v>
      </c>
      <c r="C392" s="3" t="s">
        <v>172</v>
      </c>
      <c r="D392" s="1">
        <v>46222</v>
      </c>
      <c r="E392" s="3" t="s">
        <v>191</v>
      </c>
      <c r="F392" s="3" t="s">
        <v>192</v>
      </c>
      <c r="G392" s="4" t="s">
        <v>175</v>
      </c>
      <c r="H392" s="4" t="s">
        <v>176</v>
      </c>
      <c r="I392" s="5"/>
      <c r="J392" s="5"/>
      <c r="K392" s="6"/>
      <c r="L392" s="5"/>
    </row>
    <row r="393" spans="1:12">
      <c r="A393" s="3" t="s">
        <v>158</v>
      </c>
      <c r="B393" s="3" t="s">
        <v>159</v>
      </c>
      <c r="C393" s="3" t="s">
        <v>172</v>
      </c>
      <c r="D393" s="1">
        <v>46223</v>
      </c>
      <c r="E393" s="3" t="s">
        <v>193</v>
      </c>
      <c r="F393" s="3" t="s">
        <v>181</v>
      </c>
      <c r="G393" s="4" t="s">
        <v>175</v>
      </c>
      <c r="H393" s="4" t="s">
        <v>176</v>
      </c>
      <c r="I393" s="5"/>
      <c r="J393" s="5"/>
      <c r="K393" s="6">
        <v>0</v>
      </c>
      <c r="L393" s="5" t="s">
        <v>182</v>
      </c>
    </row>
    <row r="394" spans="1:12">
      <c r="A394" s="3" t="s">
        <v>158</v>
      </c>
      <c r="B394" s="3" t="s">
        <v>159</v>
      </c>
      <c r="C394" s="3" t="s">
        <v>172</v>
      </c>
      <c r="D394" s="1">
        <v>46224</v>
      </c>
      <c r="E394" s="3" t="s">
        <v>197</v>
      </c>
      <c r="F394" s="3" t="s">
        <v>174</v>
      </c>
      <c r="G394" s="4" t="s">
        <v>175</v>
      </c>
      <c r="H394" s="4" t="s">
        <v>176</v>
      </c>
      <c r="I394" s="5" t="s">
        <v>234</v>
      </c>
      <c r="J394" s="5" t="s">
        <v>195</v>
      </c>
      <c r="K394" s="6">
        <v>0</v>
      </c>
      <c r="L394" s="5" t="s">
        <v>274</v>
      </c>
    </row>
    <row r="395" spans="1:12">
      <c r="A395" s="3" t="s">
        <v>158</v>
      </c>
      <c r="B395" s="3" t="s">
        <v>159</v>
      </c>
      <c r="C395" s="3" t="s">
        <v>172</v>
      </c>
      <c r="D395" s="1">
        <v>46225</v>
      </c>
      <c r="E395" s="3" t="s">
        <v>173</v>
      </c>
      <c r="F395" s="3" t="s">
        <v>174</v>
      </c>
      <c r="G395" s="4" t="s">
        <v>175</v>
      </c>
      <c r="H395" s="4" t="s">
        <v>176</v>
      </c>
      <c r="I395" s="5" t="s">
        <v>211</v>
      </c>
      <c r="J395" s="5" t="s">
        <v>276</v>
      </c>
      <c r="K395" s="6">
        <v>0</v>
      </c>
      <c r="L395" s="5" t="s">
        <v>267</v>
      </c>
    </row>
    <row r="396" spans="1:12">
      <c r="A396" s="3" t="s">
        <v>158</v>
      </c>
      <c r="B396" s="3" t="s">
        <v>159</v>
      </c>
      <c r="C396" s="3" t="s">
        <v>172</v>
      </c>
      <c r="D396" s="1">
        <v>46226</v>
      </c>
      <c r="E396" s="3" t="s">
        <v>180</v>
      </c>
      <c r="F396" s="3" t="s">
        <v>181</v>
      </c>
      <c r="G396" s="4" t="s">
        <v>175</v>
      </c>
      <c r="H396" s="4" t="s">
        <v>176</v>
      </c>
      <c r="I396" s="5"/>
      <c r="J396" s="5"/>
      <c r="K396" s="6">
        <v>0</v>
      </c>
      <c r="L396" s="5" t="s">
        <v>182</v>
      </c>
    </row>
    <row r="397" spans="1:12">
      <c r="A397" s="3" t="s">
        <v>158</v>
      </c>
      <c r="B397" s="3" t="s">
        <v>159</v>
      </c>
      <c r="C397" s="3" t="s">
        <v>172</v>
      </c>
      <c r="D397" s="1">
        <v>46227</v>
      </c>
      <c r="E397" s="3" t="s">
        <v>183</v>
      </c>
      <c r="F397" s="3" t="s">
        <v>174</v>
      </c>
      <c r="G397" s="4" t="s">
        <v>175</v>
      </c>
      <c r="H397" s="4" t="s">
        <v>176</v>
      </c>
      <c r="I397" s="5" t="s">
        <v>198</v>
      </c>
      <c r="J397" s="5" t="s">
        <v>221</v>
      </c>
      <c r="K397" s="6">
        <v>0</v>
      </c>
      <c r="L397" s="5" t="s">
        <v>215</v>
      </c>
    </row>
    <row r="398" spans="1:12">
      <c r="A398" s="3" t="s">
        <v>158</v>
      </c>
      <c r="B398" s="3" t="s">
        <v>159</v>
      </c>
      <c r="C398" s="3" t="s">
        <v>172</v>
      </c>
      <c r="D398" s="1">
        <v>46228</v>
      </c>
      <c r="E398" s="3" t="s">
        <v>187</v>
      </c>
      <c r="F398" s="3" t="s">
        <v>181</v>
      </c>
      <c r="G398" s="4" t="s">
        <v>175</v>
      </c>
      <c r="H398" s="4" t="s">
        <v>176</v>
      </c>
      <c r="I398" s="5"/>
      <c r="J398" s="5"/>
      <c r="K398" s="6">
        <v>0</v>
      </c>
      <c r="L398" s="5" t="s">
        <v>182</v>
      </c>
    </row>
    <row r="399" spans="1:12">
      <c r="A399" s="3" t="s">
        <v>158</v>
      </c>
      <c r="B399" s="3" t="s">
        <v>159</v>
      </c>
      <c r="C399" s="3" t="s">
        <v>172</v>
      </c>
      <c r="D399" s="1">
        <v>46229</v>
      </c>
      <c r="E399" s="3" t="s">
        <v>191</v>
      </c>
      <c r="F399" s="3" t="s">
        <v>192</v>
      </c>
      <c r="G399" s="4" t="s">
        <v>175</v>
      </c>
      <c r="H399" s="4" t="s">
        <v>176</v>
      </c>
      <c r="I399" s="5"/>
      <c r="J399" s="5"/>
      <c r="K399" s="6"/>
      <c r="L399" s="5"/>
    </row>
    <row r="400" spans="1:12">
      <c r="A400" s="3" t="s">
        <v>158</v>
      </c>
      <c r="B400" s="3" t="s">
        <v>159</v>
      </c>
      <c r="C400" s="3" t="s">
        <v>172</v>
      </c>
      <c r="D400" s="1">
        <v>46230</v>
      </c>
      <c r="E400" s="3" t="s">
        <v>193</v>
      </c>
      <c r="F400" s="3" t="s">
        <v>174</v>
      </c>
      <c r="G400" s="4" t="s">
        <v>175</v>
      </c>
      <c r="H400" s="4" t="s">
        <v>176</v>
      </c>
      <c r="I400" s="5" t="s">
        <v>252</v>
      </c>
      <c r="J400" s="5" t="s">
        <v>218</v>
      </c>
      <c r="K400" s="6">
        <v>0</v>
      </c>
      <c r="L400" s="5" t="s">
        <v>217</v>
      </c>
    </row>
    <row r="401" spans="1:12">
      <c r="A401" s="3" t="s">
        <v>158</v>
      </c>
      <c r="B401" s="3" t="s">
        <v>159</v>
      </c>
      <c r="C401" s="3" t="s">
        <v>172</v>
      </c>
      <c r="D401" s="1">
        <v>46231</v>
      </c>
      <c r="E401" s="3" t="s">
        <v>197</v>
      </c>
      <c r="F401" s="3" t="s">
        <v>181</v>
      </c>
      <c r="G401" s="4" t="s">
        <v>175</v>
      </c>
      <c r="H401" s="4" t="s">
        <v>176</v>
      </c>
      <c r="I401" s="5"/>
      <c r="J401" s="5"/>
      <c r="K401" s="6">
        <v>0</v>
      </c>
      <c r="L401" s="5" t="s">
        <v>182</v>
      </c>
    </row>
    <row r="402" spans="1:12">
      <c r="A402" s="3" t="s">
        <v>158</v>
      </c>
      <c r="B402" s="3" t="s">
        <v>159</v>
      </c>
      <c r="C402" s="3" t="s">
        <v>172</v>
      </c>
      <c r="D402" s="1">
        <v>46232</v>
      </c>
      <c r="E402" s="3" t="s">
        <v>173</v>
      </c>
      <c r="F402" s="3" t="s">
        <v>181</v>
      </c>
      <c r="G402" s="4" t="s">
        <v>175</v>
      </c>
      <c r="H402" s="4" t="s">
        <v>176</v>
      </c>
      <c r="I402" s="5"/>
      <c r="J402" s="5"/>
      <c r="K402" s="6">
        <v>0</v>
      </c>
      <c r="L402" s="5" t="s">
        <v>182</v>
      </c>
    </row>
    <row r="403" spans="1:12">
      <c r="A403" s="3" t="s">
        <v>158</v>
      </c>
      <c r="B403" s="3" t="s">
        <v>159</v>
      </c>
      <c r="C403" s="3" t="s">
        <v>172</v>
      </c>
      <c r="D403" s="1">
        <v>46233</v>
      </c>
      <c r="E403" s="3" t="s">
        <v>180</v>
      </c>
      <c r="F403" s="3" t="s">
        <v>181</v>
      </c>
      <c r="G403" s="4" t="s">
        <v>175</v>
      </c>
      <c r="H403" s="4" t="s">
        <v>176</v>
      </c>
      <c r="I403" s="5"/>
      <c r="J403" s="5"/>
      <c r="K403" s="6">
        <v>0</v>
      </c>
      <c r="L403" s="5" t="s">
        <v>182</v>
      </c>
    </row>
    <row r="404" spans="1:12">
      <c r="A404" s="3" t="s">
        <v>158</v>
      </c>
      <c r="B404" s="3" t="s">
        <v>159</v>
      </c>
      <c r="C404" s="3" t="s">
        <v>172</v>
      </c>
      <c r="D404" s="1">
        <v>46234</v>
      </c>
      <c r="E404" s="3" t="s">
        <v>183</v>
      </c>
      <c r="F404" s="3" t="s">
        <v>181</v>
      </c>
      <c r="G404" s="4" t="s">
        <v>175</v>
      </c>
      <c r="H404" s="4" t="s">
        <v>176</v>
      </c>
      <c r="I404" s="5"/>
      <c r="J404" s="5"/>
      <c r="K404" s="6">
        <v>0</v>
      </c>
      <c r="L404" s="5" t="s">
        <v>182</v>
      </c>
    </row>
    <row r="405" spans="1:12">
      <c r="A405" s="3" t="s">
        <v>160</v>
      </c>
      <c r="B405" s="3" t="s">
        <v>161</v>
      </c>
      <c r="C405" s="3" t="s">
        <v>172</v>
      </c>
      <c r="D405" s="1">
        <v>46204</v>
      </c>
      <c r="E405" s="3" t="s">
        <v>173</v>
      </c>
      <c r="F405" s="3" t="s">
        <v>174</v>
      </c>
      <c r="G405" s="4" t="s">
        <v>175</v>
      </c>
      <c r="H405" s="4" t="s">
        <v>176</v>
      </c>
      <c r="I405" s="5" t="s">
        <v>202</v>
      </c>
      <c r="J405" s="5" t="s">
        <v>271</v>
      </c>
      <c r="K405" s="6">
        <v>0</v>
      </c>
      <c r="L405" s="5" t="s">
        <v>200</v>
      </c>
    </row>
    <row r="406" spans="1:12">
      <c r="A406" s="3" t="s">
        <v>160</v>
      </c>
      <c r="B406" s="3" t="s">
        <v>161</v>
      </c>
      <c r="C406" s="3" t="s">
        <v>172</v>
      </c>
      <c r="D406" s="1">
        <v>46205</v>
      </c>
      <c r="E406" s="3" t="s">
        <v>180</v>
      </c>
      <c r="F406" s="3" t="s">
        <v>174</v>
      </c>
      <c r="G406" s="4" t="s">
        <v>175</v>
      </c>
      <c r="H406" s="4" t="s">
        <v>176</v>
      </c>
      <c r="I406" s="5" t="s">
        <v>202</v>
      </c>
      <c r="J406" s="5" t="s">
        <v>268</v>
      </c>
      <c r="K406" s="6">
        <v>0</v>
      </c>
      <c r="L406" s="5" t="s">
        <v>215</v>
      </c>
    </row>
    <row r="407" spans="1:12">
      <c r="A407" s="3" t="s">
        <v>160</v>
      </c>
      <c r="B407" s="3" t="s">
        <v>161</v>
      </c>
      <c r="C407" s="3" t="s">
        <v>172</v>
      </c>
      <c r="D407" s="1">
        <v>46206</v>
      </c>
      <c r="E407" s="3" t="s">
        <v>183</v>
      </c>
      <c r="F407" s="3" t="s">
        <v>174</v>
      </c>
      <c r="G407" s="4" t="s">
        <v>175</v>
      </c>
      <c r="H407" s="4" t="s">
        <v>176</v>
      </c>
      <c r="I407" s="5" t="s">
        <v>252</v>
      </c>
      <c r="J407" s="5" t="s">
        <v>341</v>
      </c>
      <c r="K407" s="6">
        <v>0</v>
      </c>
      <c r="L407" s="5" t="s">
        <v>186</v>
      </c>
    </row>
    <row r="408" spans="1:12">
      <c r="A408" s="3" t="s">
        <v>160</v>
      </c>
      <c r="B408" s="3" t="s">
        <v>161</v>
      </c>
      <c r="C408" s="3" t="s">
        <v>172</v>
      </c>
      <c r="D408" s="1">
        <v>46207</v>
      </c>
      <c r="E408" s="3" t="s">
        <v>187</v>
      </c>
      <c r="F408" s="3" t="s">
        <v>174</v>
      </c>
      <c r="G408" s="4" t="s">
        <v>175</v>
      </c>
      <c r="H408" s="4" t="s">
        <v>176</v>
      </c>
      <c r="I408" s="5" t="s">
        <v>194</v>
      </c>
      <c r="J408" s="5" t="s">
        <v>276</v>
      </c>
      <c r="K408" s="6">
        <v>0</v>
      </c>
      <c r="L408" s="5" t="s">
        <v>300</v>
      </c>
    </row>
    <row r="409" spans="1:12">
      <c r="A409" s="3" t="s">
        <v>160</v>
      </c>
      <c r="B409" s="3" t="s">
        <v>161</v>
      </c>
      <c r="C409" s="3" t="s">
        <v>172</v>
      </c>
      <c r="D409" s="1">
        <v>46208</v>
      </c>
      <c r="E409" s="3" t="s">
        <v>191</v>
      </c>
      <c r="F409" s="3" t="s">
        <v>192</v>
      </c>
      <c r="G409" s="4" t="s">
        <v>175</v>
      </c>
      <c r="H409" s="4" t="s">
        <v>176</v>
      </c>
      <c r="I409" s="5"/>
      <c r="J409" s="5"/>
      <c r="K409" s="6"/>
      <c r="L409" s="5"/>
    </row>
    <row r="410" spans="1:12">
      <c r="A410" s="3" t="s">
        <v>160</v>
      </c>
      <c r="B410" s="3" t="s">
        <v>161</v>
      </c>
      <c r="C410" s="3" t="s">
        <v>172</v>
      </c>
      <c r="D410" s="1">
        <v>46209</v>
      </c>
      <c r="E410" s="3" t="s">
        <v>193</v>
      </c>
      <c r="F410" s="3" t="s">
        <v>174</v>
      </c>
      <c r="G410" s="4" t="s">
        <v>175</v>
      </c>
      <c r="H410" s="4" t="s">
        <v>176</v>
      </c>
      <c r="I410" s="5" t="s">
        <v>208</v>
      </c>
      <c r="J410" s="5" t="s">
        <v>216</v>
      </c>
      <c r="K410" s="6">
        <v>0</v>
      </c>
      <c r="L410" s="5" t="s">
        <v>205</v>
      </c>
    </row>
    <row r="411" spans="1:12">
      <c r="A411" s="3" t="s">
        <v>160</v>
      </c>
      <c r="B411" s="3" t="s">
        <v>161</v>
      </c>
      <c r="C411" s="3" t="s">
        <v>172</v>
      </c>
      <c r="D411" s="1">
        <v>46210</v>
      </c>
      <c r="E411" s="3" t="s">
        <v>197</v>
      </c>
      <c r="F411" s="3" t="s">
        <v>174</v>
      </c>
      <c r="G411" s="4" t="s">
        <v>175</v>
      </c>
      <c r="H411" s="4" t="s">
        <v>176</v>
      </c>
      <c r="I411" s="5" t="s">
        <v>252</v>
      </c>
      <c r="J411" s="5" t="s">
        <v>264</v>
      </c>
      <c r="K411" s="6">
        <v>0</v>
      </c>
      <c r="L411" s="5" t="s">
        <v>190</v>
      </c>
    </row>
    <row r="412" spans="1:12">
      <c r="A412" s="3" t="s">
        <v>160</v>
      </c>
      <c r="B412" s="3" t="s">
        <v>161</v>
      </c>
      <c r="C412" s="3" t="s">
        <v>172</v>
      </c>
      <c r="D412" s="1">
        <v>46211</v>
      </c>
      <c r="E412" s="3" t="s">
        <v>173</v>
      </c>
      <c r="F412" s="3" t="s">
        <v>174</v>
      </c>
      <c r="G412" s="4" t="s">
        <v>175</v>
      </c>
      <c r="H412" s="4" t="s">
        <v>176</v>
      </c>
      <c r="I412" s="5" t="s">
        <v>209</v>
      </c>
      <c r="J412" s="5" t="s">
        <v>342</v>
      </c>
      <c r="K412" s="6">
        <v>0</v>
      </c>
      <c r="L412" s="5" t="s">
        <v>209</v>
      </c>
    </row>
    <row r="413" spans="1:12">
      <c r="A413" s="3" t="s">
        <v>160</v>
      </c>
      <c r="B413" s="3" t="s">
        <v>161</v>
      </c>
      <c r="C413" s="3" t="s">
        <v>172</v>
      </c>
      <c r="D413" s="1">
        <v>46212</v>
      </c>
      <c r="E413" s="3" t="s">
        <v>180</v>
      </c>
      <c r="F413" s="3" t="s">
        <v>174</v>
      </c>
      <c r="G413" s="4" t="s">
        <v>175</v>
      </c>
      <c r="H413" s="4" t="s">
        <v>176</v>
      </c>
      <c r="I413" s="5" t="s">
        <v>209</v>
      </c>
      <c r="J413" s="5" t="s">
        <v>342</v>
      </c>
      <c r="K413" s="6">
        <v>0</v>
      </c>
      <c r="L413" s="5" t="s">
        <v>209</v>
      </c>
    </row>
    <row r="414" spans="1:12">
      <c r="A414" s="3" t="s">
        <v>160</v>
      </c>
      <c r="B414" s="3" t="s">
        <v>161</v>
      </c>
      <c r="C414" s="3" t="s">
        <v>172</v>
      </c>
      <c r="D414" s="1">
        <v>46213</v>
      </c>
      <c r="E414" s="3" t="s">
        <v>183</v>
      </c>
      <c r="F414" s="3" t="s">
        <v>174</v>
      </c>
      <c r="G414" s="4" t="s">
        <v>175</v>
      </c>
      <c r="H414" s="4" t="s">
        <v>176</v>
      </c>
      <c r="I414" s="5" t="s">
        <v>194</v>
      </c>
      <c r="J414" s="5" t="s">
        <v>253</v>
      </c>
      <c r="K414" s="6">
        <v>0</v>
      </c>
      <c r="L414" s="5" t="s">
        <v>194</v>
      </c>
    </row>
    <row r="415" spans="1:12">
      <c r="A415" s="3" t="s">
        <v>160</v>
      </c>
      <c r="B415" s="3" t="s">
        <v>161</v>
      </c>
      <c r="C415" s="3" t="s">
        <v>172</v>
      </c>
      <c r="D415" s="1">
        <v>46214</v>
      </c>
      <c r="E415" s="3" t="s">
        <v>187</v>
      </c>
      <c r="F415" s="3" t="s">
        <v>174</v>
      </c>
      <c r="G415" s="4" t="s">
        <v>175</v>
      </c>
      <c r="H415" s="4" t="s">
        <v>176</v>
      </c>
      <c r="I415" s="5" t="s">
        <v>202</v>
      </c>
      <c r="J415" s="5" t="s">
        <v>273</v>
      </c>
      <c r="K415" s="6">
        <v>0</v>
      </c>
      <c r="L415" s="5" t="s">
        <v>196</v>
      </c>
    </row>
    <row r="416" spans="1:12">
      <c r="A416" s="3" t="s">
        <v>160</v>
      </c>
      <c r="B416" s="3" t="s">
        <v>161</v>
      </c>
      <c r="C416" s="3" t="s">
        <v>172</v>
      </c>
      <c r="D416" s="1">
        <v>46215</v>
      </c>
      <c r="E416" s="3" t="s">
        <v>191</v>
      </c>
      <c r="F416" s="3" t="s">
        <v>192</v>
      </c>
      <c r="G416" s="4" t="s">
        <v>175</v>
      </c>
      <c r="H416" s="4" t="s">
        <v>176</v>
      </c>
      <c r="I416" s="5"/>
      <c r="J416" s="5"/>
      <c r="K416" s="6"/>
      <c r="L416" s="5"/>
    </row>
    <row r="417" spans="1:12">
      <c r="A417" s="3" t="s">
        <v>160</v>
      </c>
      <c r="B417" s="3" t="s">
        <v>161</v>
      </c>
      <c r="C417" s="3" t="s">
        <v>172</v>
      </c>
      <c r="D417" s="1">
        <v>46216</v>
      </c>
      <c r="E417" s="3" t="s">
        <v>193</v>
      </c>
      <c r="F417" s="3" t="s">
        <v>181</v>
      </c>
      <c r="G417" s="4" t="s">
        <v>175</v>
      </c>
      <c r="H417" s="4" t="s">
        <v>176</v>
      </c>
      <c r="I417" s="5"/>
      <c r="J417" s="5"/>
      <c r="K417" s="6">
        <v>0</v>
      </c>
      <c r="L417" s="5" t="s">
        <v>182</v>
      </c>
    </row>
    <row r="418" spans="1:12">
      <c r="A418" s="3" t="s">
        <v>160</v>
      </c>
      <c r="B418" s="3" t="s">
        <v>161</v>
      </c>
      <c r="C418" s="3" t="s">
        <v>172</v>
      </c>
      <c r="D418" s="1">
        <v>46217</v>
      </c>
      <c r="E418" s="3" t="s">
        <v>197</v>
      </c>
      <c r="F418" s="3" t="s">
        <v>174</v>
      </c>
      <c r="G418" s="4" t="s">
        <v>175</v>
      </c>
      <c r="H418" s="4" t="s">
        <v>176</v>
      </c>
      <c r="I418" s="5" t="s">
        <v>252</v>
      </c>
      <c r="J418" s="5" t="s">
        <v>185</v>
      </c>
      <c r="K418" s="6">
        <v>0</v>
      </c>
      <c r="L418" s="5" t="s">
        <v>234</v>
      </c>
    </row>
    <row r="419" spans="1:12">
      <c r="A419" s="3" t="s">
        <v>160</v>
      </c>
      <c r="B419" s="3" t="s">
        <v>161</v>
      </c>
      <c r="C419" s="3" t="s">
        <v>172</v>
      </c>
      <c r="D419" s="1">
        <v>46218</v>
      </c>
      <c r="E419" s="3" t="s">
        <v>173</v>
      </c>
      <c r="F419" s="3" t="s">
        <v>174</v>
      </c>
      <c r="G419" s="4" t="s">
        <v>175</v>
      </c>
      <c r="H419" s="4" t="s">
        <v>176</v>
      </c>
      <c r="I419" s="5" t="s">
        <v>184</v>
      </c>
      <c r="J419" s="5" t="s">
        <v>216</v>
      </c>
      <c r="K419" s="6">
        <v>0</v>
      </c>
      <c r="L419" s="5" t="s">
        <v>263</v>
      </c>
    </row>
    <row r="420" spans="1:12">
      <c r="A420" s="3" t="s">
        <v>160</v>
      </c>
      <c r="B420" s="3" t="s">
        <v>161</v>
      </c>
      <c r="C420" s="3" t="s">
        <v>172</v>
      </c>
      <c r="D420" s="1">
        <v>46219</v>
      </c>
      <c r="E420" s="3" t="s">
        <v>180</v>
      </c>
      <c r="F420" s="3" t="s">
        <v>174</v>
      </c>
      <c r="G420" s="4" t="s">
        <v>175</v>
      </c>
      <c r="H420" s="4" t="s">
        <v>176</v>
      </c>
      <c r="I420" s="5" t="s">
        <v>194</v>
      </c>
      <c r="J420" s="5" t="s">
        <v>275</v>
      </c>
      <c r="K420" s="6">
        <v>0</v>
      </c>
      <c r="L420" s="5" t="s">
        <v>219</v>
      </c>
    </row>
    <row r="421" spans="1:12">
      <c r="A421" s="3" t="s">
        <v>160</v>
      </c>
      <c r="B421" s="3" t="s">
        <v>161</v>
      </c>
      <c r="C421" s="3" t="s">
        <v>172</v>
      </c>
      <c r="D421" s="1">
        <v>46220</v>
      </c>
      <c r="E421" s="3" t="s">
        <v>183</v>
      </c>
      <c r="F421" s="3" t="s">
        <v>174</v>
      </c>
      <c r="G421" s="4" t="s">
        <v>175</v>
      </c>
      <c r="H421" s="4" t="s">
        <v>176</v>
      </c>
      <c r="I421" s="5" t="s">
        <v>198</v>
      </c>
      <c r="J421" s="5" t="s">
        <v>281</v>
      </c>
      <c r="K421" s="6">
        <v>0</v>
      </c>
      <c r="L421" s="5" t="s">
        <v>177</v>
      </c>
    </row>
    <row r="422" spans="1:12">
      <c r="A422" s="3" t="s">
        <v>160</v>
      </c>
      <c r="B422" s="3" t="s">
        <v>161</v>
      </c>
      <c r="C422" s="3" t="s">
        <v>172</v>
      </c>
      <c r="D422" s="1">
        <v>46221</v>
      </c>
      <c r="E422" s="3" t="s">
        <v>187</v>
      </c>
      <c r="F422" s="3" t="s">
        <v>174</v>
      </c>
      <c r="G422" s="4" t="s">
        <v>175</v>
      </c>
      <c r="H422" s="4" t="s">
        <v>176</v>
      </c>
      <c r="I422" s="5" t="s">
        <v>184</v>
      </c>
      <c r="J422" s="5" t="s">
        <v>304</v>
      </c>
      <c r="K422" s="6">
        <v>0</v>
      </c>
      <c r="L422" s="5" t="s">
        <v>252</v>
      </c>
    </row>
    <row r="423" spans="1:12">
      <c r="A423" s="3" t="s">
        <v>160</v>
      </c>
      <c r="B423" s="3" t="s">
        <v>161</v>
      </c>
      <c r="C423" s="3" t="s">
        <v>172</v>
      </c>
      <c r="D423" s="1">
        <v>46222</v>
      </c>
      <c r="E423" s="3" t="s">
        <v>191</v>
      </c>
      <c r="F423" s="3" t="s">
        <v>192</v>
      </c>
      <c r="G423" s="4" t="s">
        <v>175</v>
      </c>
      <c r="H423" s="4" t="s">
        <v>176</v>
      </c>
      <c r="I423" s="5"/>
      <c r="J423" s="5"/>
      <c r="K423" s="6"/>
      <c r="L423" s="5"/>
    </row>
    <row r="424" spans="1:12">
      <c r="A424" s="3" t="s">
        <v>160</v>
      </c>
      <c r="B424" s="3" t="s">
        <v>161</v>
      </c>
      <c r="C424" s="3" t="s">
        <v>172</v>
      </c>
      <c r="D424" s="1">
        <v>46223</v>
      </c>
      <c r="E424" s="3" t="s">
        <v>193</v>
      </c>
      <c r="F424" s="3" t="s">
        <v>174</v>
      </c>
      <c r="G424" s="4" t="s">
        <v>175</v>
      </c>
      <c r="H424" s="4" t="s">
        <v>176</v>
      </c>
      <c r="I424" s="5" t="s">
        <v>252</v>
      </c>
      <c r="J424" s="5" t="s">
        <v>278</v>
      </c>
      <c r="K424" s="6">
        <v>0</v>
      </c>
      <c r="L424" s="5" t="s">
        <v>202</v>
      </c>
    </row>
    <row r="425" spans="1:12">
      <c r="A425" s="3" t="s">
        <v>160</v>
      </c>
      <c r="B425" s="3" t="s">
        <v>161</v>
      </c>
      <c r="C425" s="3" t="s">
        <v>172</v>
      </c>
      <c r="D425" s="1">
        <v>46224</v>
      </c>
      <c r="E425" s="3" t="s">
        <v>197</v>
      </c>
      <c r="F425" s="3" t="s">
        <v>174</v>
      </c>
      <c r="G425" s="4" t="s">
        <v>175</v>
      </c>
      <c r="H425" s="4" t="s">
        <v>176</v>
      </c>
      <c r="I425" s="5" t="s">
        <v>234</v>
      </c>
      <c r="J425" s="5" t="s">
        <v>207</v>
      </c>
      <c r="K425" s="6">
        <v>0</v>
      </c>
      <c r="L425" s="5" t="s">
        <v>186</v>
      </c>
    </row>
    <row r="426" spans="1:12">
      <c r="A426" s="3" t="s">
        <v>160</v>
      </c>
      <c r="B426" s="3" t="s">
        <v>161</v>
      </c>
      <c r="C426" s="3" t="s">
        <v>172</v>
      </c>
      <c r="D426" s="1">
        <v>46225</v>
      </c>
      <c r="E426" s="3" t="s">
        <v>173</v>
      </c>
      <c r="F426" s="3" t="s">
        <v>174</v>
      </c>
      <c r="G426" s="4" t="s">
        <v>175</v>
      </c>
      <c r="H426" s="4" t="s">
        <v>176</v>
      </c>
      <c r="I426" s="5" t="s">
        <v>177</v>
      </c>
      <c r="J426" s="5" t="s">
        <v>254</v>
      </c>
      <c r="K426" s="6">
        <v>0</v>
      </c>
      <c r="L426" s="5" t="s">
        <v>196</v>
      </c>
    </row>
    <row r="427" spans="1:12">
      <c r="A427" s="3" t="s">
        <v>160</v>
      </c>
      <c r="B427" s="3" t="s">
        <v>161</v>
      </c>
      <c r="C427" s="3" t="s">
        <v>172</v>
      </c>
      <c r="D427" s="1">
        <v>46226</v>
      </c>
      <c r="E427" s="3" t="s">
        <v>180</v>
      </c>
      <c r="F427" s="3" t="s">
        <v>174</v>
      </c>
      <c r="G427" s="4" t="s">
        <v>175</v>
      </c>
      <c r="H427" s="4" t="s">
        <v>176</v>
      </c>
      <c r="I427" s="5" t="s">
        <v>190</v>
      </c>
      <c r="J427" s="5" t="s">
        <v>213</v>
      </c>
      <c r="K427" s="6">
        <v>0</v>
      </c>
      <c r="L427" s="5" t="s">
        <v>198</v>
      </c>
    </row>
    <row r="428" spans="1:12">
      <c r="A428" s="3" t="s">
        <v>160</v>
      </c>
      <c r="B428" s="3" t="s">
        <v>161</v>
      </c>
      <c r="C428" s="3" t="s">
        <v>172</v>
      </c>
      <c r="D428" s="1">
        <v>46227</v>
      </c>
      <c r="E428" s="3" t="s">
        <v>183</v>
      </c>
      <c r="F428" s="3" t="s">
        <v>174</v>
      </c>
      <c r="G428" s="4" t="s">
        <v>175</v>
      </c>
      <c r="H428" s="4" t="s">
        <v>176</v>
      </c>
      <c r="I428" s="5" t="s">
        <v>252</v>
      </c>
      <c r="J428" s="5" t="s">
        <v>189</v>
      </c>
      <c r="K428" s="6">
        <v>0</v>
      </c>
      <c r="L428" s="5" t="s">
        <v>269</v>
      </c>
    </row>
    <row r="429" spans="1:12">
      <c r="A429" s="3" t="s">
        <v>160</v>
      </c>
      <c r="B429" s="3" t="s">
        <v>161</v>
      </c>
      <c r="C429" s="3" t="s">
        <v>172</v>
      </c>
      <c r="D429" s="1">
        <v>46228</v>
      </c>
      <c r="E429" s="3" t="s">
        <v>187</v>
      </c>
      <c r="F429" s="3" t="s">
        <v>174</v>
      </c>
      <c r="G429" s="4" t="s">
        <v>175</v>
      </c>
      <c r="H429" s="4" t="s">
        <v>176</v>
      </c>
      <c r="I429" s="5" t="s">
        <v>190</v>
      </c>
      <c r="J429" s="5" t="s">
        <v>228</v>
      </c>
      <c r="K429" s="6">
        <v>0</v>
      </c>
      <c r="L429" s="5" t="s">
        <v>209</v>
      </c>
    </row>
    <row r="430" spans="1:12">
      <c r="A430" s="3" t="s">
        <v>160</v>
      </c>
      <c r="B430" s="3" t="s">
        <v>161</v>
      </c>
      <c r="C430" s="3" t="s">
        <v>172</v>
      </c>
      <c r="D430" s="1">
        <v>46229</v>
      </c>
      <c r="E430" s="3" t="s">
        <v>191</v>
      </c>
      <c r="F430" s="3" t="s">
        <v>192</v>
      </c>
      <c r="G430" s="4" t="s">
        <v>175</v>
      </c>
      <c r="H430" s="4" t="s">
        <v>176</v>
      </c>
      <c r="I430" s="5"/>
      <c r="J430" s="5"/>
      <c r="K430" s="6"/>
      <c r="L430" s="5"/>
    </row>
    <row r="431" spans="1:12">
      <c r="A431" s="3" t="s">
        <v>160</v>
      </c>
      <c r="B431" s="3" t="s">
        <v>161</v>
      </c>
      <c r="C431" s="3" t="s">
        <v>172</v>
      </c>
      <c r="D431" s="1">
        <v>46230</v>
      </c>
      <c r="E431" s="3" t="s">
        <v>193</v>
      </c>
      <c r="F431" s="3" t="s">
        <v>181</v>
      </c>
      <c r="G431" s="4" t="s">
        <v>175</v>
      </c>
      <c r="H431" s="4" t="s">
        <v>176</v>
      </c>
      <c r="I431" s="5"/>
      <c r="J431" s="5"/>
      <c r="K431" s="6">
        <v>0</v>
      </c>
      <c r="L431" s="5" t="s">
        <v>182</v>
      </c>
    </row>
    <row r="432" spans="1:12">
      <c r="A432" s="3" t="s">
        <v>160</v>
      </c>
      <c r="B432" s="3" t="s">
        <v>161</v>
      </c>
      <c r="C432" s="3" t="s">
        <v>172</v>
      </c>
      <c r="D432" s="1">
        <v>46231</v>
      </c>
      <c r="E432" s="3" t="s">
        <v>197</v>
      </c>
      <c r="F432" s="3" t="s">
        <v>174</v>
      </c>
      <c r="G432" s="4" t="s">
        <v>175</v>
      </c>
      <c r="H432" s="4" t="s">
        <v>176</v>
      </c>
      <c r="I432" s="5" t="s">
        <v>186</v>
      </c>
      <c r="J432" s="5" t="s">
        <v>220</v>
      </c>
      <c r="K432" s="6">
        <v>0</v>
      </c>
      <c r="L432" s="5" t="s">
        <v>217</v>
      </c>
    </row>
    <row r="433" spans="1:12">
      <c r="A433" s="3" t="s">
        <v>160</v>
      </c>
      <c r="B433" s="3" t="s">
        <v>161</v>
      </c>
      <c r="C433" s="3" t="s">
        <v>172</v>
      </c>
      <c r="D433" s="1">
        <v>46232</v>
      </c>
      <c r="E433" s="3" t="s">
        <v>173</v>
      </c>
      <c r="F433" s="3" t="s">
        <v>174</v>
      </c>
      <c r="G433" s="4" t="s">
        <v>175</v>
      </c>
      <c r="H433" s="4" t="s">
        <v>176</v>
      </c>
      <c r="I433" s="5" t="s">
        <v>205</v>
      </c>
      <c r="J433" s="5" t="s">
        <v>271</v>
      </c>
      <c r="K433" s="6">
        <v>0</v>
      </c>
      <c r="L433" s="5" t="s">
        <v>184</v>
      </c>
    </row>
    <row r="434" spans="1:12">
      <c r="A434" s="3" t="s">
        <v>160</v>
      </c>
      <c r="B434" s="3" t="s">
        <v>161</v>
      </c>
      <c r="C434" s="3" t="s">
        <v>172</v>
      </c>
      <c r="D434" s="1">
        <v>46233</v>
      </c>
      <c r="E434" s="3" t="s">
        <v>180</v>
      </c>
      <c r="F434" s="3" t="s">
        <v>181</v>
      </c>
      <c r="G434" s="4" t="s">
        <v>175</v>
      </c>
      <c r="H434" s="4" t="s">
        <v>176</v>
      </c>
      <c r="I434" s="5"/>
      <c r="J434" s="5"/>
      <c r="K434" s="6">
        <v>0</v>
      </c>
      <c r="L434" s="5" t="s">
        <v>182</v>
      </c>
    </row>
    <row r="435" spans="1:12">
      <c r="A435" s="3" t="s">
        <v>160</v>
      </c>
      <c r="B435" s="3" t="s">
        <v>161</v>
      </c>
      <c r="C435" s="3" t="s">
        <v>172</v>
      </c>
      <c r="D435" s="1">
        <v>46234</v>
      </c>
      <c r="E435" s="3" t="s">
        <v>183</v>
      </c>
      <c r="F435" s="3" t="s">
        <v>174</v>
      </c>
      <c r="G435" s="4" t="s">
        <v>175</v>
      </c>
      <c r="H435" s="4" t="s">
        <v>176</v>
      </c>
      <c r="I435" s="5" t="s">
        <v>208</v>
      </c>
      <c r="J435" s="5" t="s">
        <v>218</v>
      </c>
      <c r="K435" s="6">
        <v>0</v>
      </c>
      <c r="L435" s="5" t="s">
        <v>190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Invoice - Aug-22</vt:lpstr>
      <vt:lpstr>Wages Register</vt:lpstr>
      <vt:lpstr>Attendance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Administrator2</dc:creator>
  <cp:lastModifiedBy>AmaSin</cp:lastModifiedBy>
  <dcterms:created xsi:type="dcterms:W3CDTF">2018-06-01T07:31:00Z</dcterms:created>
  <cp:lastPrinted>2026-08-12T08:37:00Z</cp:lastPrinted>
  <dcterms:modified xsi:type="dcterms:W3CDTF">2026-09-21T12:38:07Z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AE0494CF5AD04490BAA1E21AD62C3253_12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